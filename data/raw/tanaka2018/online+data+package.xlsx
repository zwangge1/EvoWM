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0" windowWidth="19395" windowHeight="8070"/>
  </bookViews>
  <sheets>
    <sheet name="Sheet1" sheetId="1" r:id="rId1"/>
    <sheet name="Sheet2" sheetId="2" r:id="rId2"/>
    <sheet name="Sheet3" sheetId="3" r:id="rId3"/>
  </sheets>
  <calcPr calcId="125725" calcMode="manual" concurrentCalc="0"/>
</workbook>
</file>

<file path=xl/calcChain.xml><?xml version="1.0" encoding="utf-8"?>
<calcChain xmlns="http://schemas.openxmlformats.org/spreadsheetml/2006/main">
  <c r="G108" i="1"/>
  <c r="G109"/>
  <c r="G110"/>
  <c r="G111"/>
  <c r="G112"/>
  <c r="G113"/>
  <c r="G114"/>
  <c r="G115"/>
  <c r="G116"/>
  <c r="G107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60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8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11"/>
  <c r="F10"/>
  <c r="F9"/>
  <c r="F8"/>
  <c r="F107"/>
  <c r="F108"/>
  <c r="F109"/>
  <c r="F110"/>
  <c r="F111"/>
  <c r="F112"/>
  <c r="F113"/>
  <c r="F114"/>
  <c r="F115"/>
  <c r="F116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60"/>
</calcChain>
</file>

<file path=xl/sharedStrings.xml><?xml version="1.0" encoding="utf-8"?>
<sst xmlns="http://schemas.openxmlformats.org/spreadsheetml/2006/main" count="346" uniqueCount="91">
  <si>
    <t>Order</t>
    <phoneticPr fontId="1"/>
  </si>
  <si>
    <t>ecological</t>
  </si>
  <si>
    <t>Tetrao urogallus</t>
    <phoneticPr fontId="1"/>
  </si>
  <si>
    <t>Thalassarche chrysostoma</t>
    <phoneticPr fontId="1"/>
  </si>
  <si>
    <t>Macnonectes sp.</t>
    <phoneticPr fontId="1"/>
  </si>
  <si>
    <t>Butastur indicus</t>
    <phoneticPr fontId="1"/>
  </si>
  <si>
    <t>Asio otus</t>
    <phoneticPr fontId="1"/>
  </si>
  <si>
    <t>Smyrnium aluco</t>
    <phoneticPr fontId="1"/>
  </si>
  <si>
    <t xml:space="preserve">Falco tinnunculus </t>
    <phoneticPr fontId="1"/>
  </si>
  <si>
    <t>Galliformes</t>
    <phoneticPr fontId="1"/>
  </si>
  <si>
    <t>Tetrao tetrix</t>
    <phoneticPr fontId="1"/>
  </si>
  <si>
    <t>Tetrao bonasia</t>
    <phoneticPr fontId="1"/>
  </si>
  <si>
    <t>Lagopus alpinus</t>
    <phoneticPr fontId="1"/>
  </si>
  <si>
    <t>Perdix rufa</t>
    <phoneticPr fontId="1"/>
  </si>
  <si>
    <t xml:space="preserve">Phasianus colchicus </t>
    <phoneticPr fontId="1"/>
  </si>
  <si>
    <t>Columbiformes</t>
    <phoneticPr fontId="1"/>
  </si>
  <si>
    <t xml:space="preserve">Columba livia </t>
    <phoneticPr fontId="1"/>
  </si>
  <si>
    <t xml:space="preserve">Otis tarda </t>
    <phoneticPr fontId="1"/>
  </si>
  <si>
    <t>Anseriformes</t>
    <phoneticPr fontId="1"/>
  </si>
  <si>
    <t xml:space="preserve">Fuligula cristata </t>
    <phoneticPr fontId="1"/>
  </si>
  <si>
    <t>Procellariiformes</t>
    <phoneticPr fontId="1"/>
  </si>
  <si>
    <t>Thalassarche melanophrys</t>
    <phoneticPr fontId="1"/>
  </si>
  <si>
    <t>Fulmarus sp.</t>
    <phoneticPr fontId="1"/>
  </si>
  <si>
    <t>Puffinus nativitatis</t>
    <phoneticPr fontId="1"/>
  </si>
  <si>
    <t>Charadriiformes</t>
    <phoneticPr fontId="1"/>
  </si>
  <si>
    <t xml:space="preserve">Numenius arquatus </t>
    <phoneticPr fontId="1"/>
  </si>
  <si>
    <t>Larus crassirostris</t>
    <phoneticPr fontId="1"/>
  </si>
  <si>
    <t>Scolopax rusticola</t>
    <phoneticPr fontId="1"/>
  </si>
  <si>
    <t>Scolopax gallinago</t>
    <phoneticPr fontId="1"/>
  </si>
  <si>
    <t>Accipitridae</t>
    <phoneticPr fontId="1"/>
  </si>
  <si>
    <t xml:space="preserve">Haliaetus albicilla </t>
    <phoneticPr fontId="1"/>
  </si>
  <si>
    <t>Arboreal</t>
    <phoneticPr fontId="1"/>
  </si>
  <si>
    <t>Weight</t>
    <phoneticPr fontId="1"/>
  </si>
  <si>
    <t xml:space="preserve">Wing </t>
    <phoneticPr fontId="1"/>
  </si>
  <si>
    <t xml:space="preserve">Aspect </t>
    <phoneticPr fontId="1"/>
  </si>
  <si>
    <t>Wing</t>
    <phoneticPr fontId="1"/>
  </si>
  <si>
    <t>area</t>
  </si>
  <si>
    <t>span</t>
  </si>
  <si>
    <t xml:space="preserve"> loading</t>
  </si>
  <si>
    <t>division</t>
    <phoneticPr fontId="1"/>
  </si>
  <si>
    <t>Passeriformes</t>
    <phoneticPr fontId="1"/>
  </si>
  <si>
    <t>Psittacus erithacus</t>
    <phoneticPr fontId="1"/>
  </si>
  <si>
    <t>Garrulus glandarius</t>
    <phoneticPr fontId="1"/>
  </si>
  <si>
    <t>Taxon</t>
    <phoneticPr fontId="1"/>
  </si>
  <si>
    <t xml:space="preserve">General </t>
    <phoneticPr fontId="1"/>
  </si>
  <si>
    <t>ratio</t>
    <phoneticPr fontId="1"/>
  </si>
  <si>
    <t>(kg)</t>
    <phoneticPr fontId="1"/>
  </si>
  <si>
    <t>(m²)</t>
    <phoneticPr fontId="1"/>
  </si>
  <si>
    <t>(m)</t>
    <phoneticPr fontId="1"/>
  </si>
  <si>
    <t>Ground</t>
    <phoneticPr fontId="1"/>
  </si>
  <si>
    <t>Perdix cinerea</t>
    <phoneticPr fontId="1"/>
  </si>
  <si>
    <t>Otididae</t>
    <phoneticPr fontId="1"/>
  </si>
  <si>
    <t xml:space="preserve">Semi-aquatic </t>
    <phoneticPr fontId="1"/>
  </si>
  <si>
    <t>Cygnus columbianus</t>
    <phoneticPr fontId="1"/>
  </si>
  <si>
    <t>Diomedea exulans</t>
    <phoneticPr fontId="1"/>
  </si>
  <si>
    <t>Diomedea irrorata</t>
    <phoneticPr fontId="1"/>
  </si>
  <si>
    <t>Phoebetria sp.</t>
    <phoneticPr fontId="1"/>
  </si>
  <si>
    <t>Procellaria aequinoctialis</t>
    <phoneticPr fontId="1"/>
  </si>
  <si>
    <t>Puffinus pacificus</t>
    <phoneticPr fontId="1"/>
  </si>
  <si>
    <t>Ciconiiformes</t>
    <phoneticPr fontId="1"/>
  </si>
  <si>
    <t>Ardea alba</t>
    <phoneticPr fontId="1"/>
  </si>
  <si>
    <t xml:space="preserve">Haematopus ostralegus </t>
    <phoneticPr fontId="1"/>
  </si>
  <si>
    <t xml:space="preserve">Archibuteo lagopus </t>
    <phoneticPr fontId="1"/>
  </si>
  <si>
    <t>Strigiformes</t>
    <phoneticPr fontId="1"/>
  </si>
  <si>
    <t>Strix uralensis</t>
    <phoneticPr fontId="1"/>
  </si>
  <si>
    <t>Asyo brachyotus</t>
    <phoneticPr fontId="1"/>
  </si>
  <si>
    <t>Falconidae</t>
    <phoneticPr fontId="1"/>
  </si>
  <si>
    <t xml:space="preserve">Turdus pilaris </t>
    <phoneticPr fontId="1"/>
  </si>
  <si>
    <t>Corvus cornix</t>
    <phoneticPr fontId="1"/>
  </si>
  <si>
    <t>Corvus frugilegus</t>
    <phoneticPr fontId="1"/>
  </si>
  <si>
    <t>Corvus monedula</t>
    <phoneticPr fontId="1"/>
  </si>
  <si>
    <t>Corvus pica</t>
    <phoneticPr fontId="1"/>
  </si>
  <si>
    <t>Chrysotis amazonica</t>
    <phoneticPr fontId="1"/>
  </si>
  <si>
    <r>
      <t>(N/m</t>
    </r>
    <r>
      <rPr>
        <vertAlign val="superscript"/>
        <sz val="10"/>
        <color theme="1"/>
        <rFont val="Sans serof"/>
        <family val="2"/>
      </rPr>
      <t>2</t>
    </r>
    <r>
      <rPr>
        <sz val="10"/>
        <color theme="1"/>
        <rFont val="Sans serof"/>
        <family val="2"/>
      </rPr>
      <t>)</t>
    </r>
    <phoneticPr fontId="1"/>
  </si>
  <si>
    <r>
      <t>Pavo crist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</si>
  <si>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Anas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</si>
  <si>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Anas boschas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</si>
  <si>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Fuligula clangula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</si>
  <si>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Fuligula glacialis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</si>
  <si>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Ciconia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</si>
  <si>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Botaurus stellaris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</si>
  <si>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Numenius arquatus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</si>
  <si>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Larus canus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</si>
  <si>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Sterna cantiaca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</si>
  <si>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Sterna hirundo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</si>
  <si>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Sterna minuta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</si>
  <si>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Astur palumbarius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</si>
  <si>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Accipiter nisus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</si>
  <si>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Buteo vulgaris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</si>
  <si>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r>
      <t>Strix flammea</t>
    </r>
    <r>
      <rPr>
        <i/>
        <sz val="10"/>
        <color theme="1"/>
        <rFont val="ＭＳ Ｐゴシック"/>
        <family val="2"/>
        <charset val="128"/>
      </rPr>
      <t>　</t>
    </r>
    <phoneticPr fontId="1"/>
  </si>
  <si>
    <t>Reference</t>
    <phoneticPr fontId="1"/>
  </si>
</sst>
</file>

<file path=xl/styles.xml><?xml version="1.0" encoding="utf-8"?>
<styleSheet xmlns="http://schemas.openxmlformats.org/spreadsheetml/2006/main">
  <numFmts count="3">
    <numFmt numFmtId="176" formatCode="0.000_ "/>
    <numFmt numFmtId="177" formatCode="0.0000_ "/>
    <numFmt numFmtId="178" formatCode="0.0_ "/>
  </numFmts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0"/>
      <color theme="1"/>
      <name val="Sans serof"/>
      <family val="2"/>
    </font>
    <font>
      <sz val="10"/>
      <color theme="1"/>
      <name val="Sans serof"/>
    </font>
    <font>
      <vertAlign val="superscript"/>
      <sz val="10"/>
      <color theme="1"/>
      <name val="Sans serof"/>
      <family val="2"/>
    </font>
    <font>
      <i/>
      <sz val="10"/>
      <color theme="1"/>
      <name val="Sans serof"/>
      <family val="2"/>
    </font>
    <font>
      <i/>
      <sz val="10"/>
      <color theme="1"/>
      <name val="ＭＳ Ｐゴシック"/>
      <family val="2"/>
      <charset val="128"/>
    </font>
    <font>
      <sz val="10"/>
      <name val="Sans serof"/>
      <family val="2"/>
    </font>
    <font>
      <i/>
      <sz val="10"/>
      <name val="Sans sero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>
      <alignment vertical="center"/>
    </xf>
    <xf numFmtId="176" fontId="3" fillId="2" borderId="0" xfId="0" applyNumberFormat="1" applyFont="1" applyFill="1" applyBorder="1" applyAlignment="1">
      <alignment horizontal="left" vertical="center"/>
    </xf>
    <xf numFmtId="177" fontId="3" fillId="2" borderId="0" xfId="0" applyNumberFormat="1" applyFont="1" applyFill="1" applyBorder="1" applyAlignment="1">
      <alignment horizontal="left" vertical="center"/>
    </xf>
    <xf numFmtId="176" fontId="3" fillId="2" borderId="0" xfId="0" applyNumberFormat="1" applyFont="1" applyFill="1" applyAlignment="1">
      <alignment horizontal="left" vertical="center"/>
    </xf>
    <xf numFmtId="178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176" fontId="8" fillId="2" borderId="0" xfId="0" applyNumberFormat="1" applyFont="1" applyFill="1" applyAlignment="1">
      <alignment horizontal="left" vertical="center"/>
    </xf>
    <xf numFmtId="177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0" xfId="1" applyFont="1" applyFill="1">
      <alignment vertical="center"/>
    </xf>
    <xf numFmtId="176" fontId="8" fillId="2" borderId="0" xfId="0" applyNumberFormat="1" applyFont="1" applyFill="1" applyBorder="1" applyAlignment="1">
      <alignment horizontal="left" vertical="center"/>
    </xf>
    <xf numFmtId="177" fontId="8" fillId="2" borderId="0" xfId="0" applyNumberFormat="1" applyFont="1" applyFill="1" applyBorder="1" applyAlignment="1">
      <alignment horizontal="left" vertical="center"/>
    </xf>
    <xf numFmtId="0" fontId="6" fillId="2" borderId="0" xfId="0" applyFont="1" applyFill="1" applyBorder="1">
      <alignment vertical="center"/>
    </xf>
    <xf numFmtId="0" fontId="3" fillId="2" borderId="1" xfId="0" applyFont="1" applyFill="1" applyBorder="1">
      <alignment vertical="center"/>
    </xf>
    <xf numFmtId="177" fontId="3" fillId="2" borderId="1" xfId="0" applyNumberFormat="1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n.wikipedia.org/wiki/Ardea_alb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topLeftCell="A31" zoomScaleNormal="100" workbookViewId="0">
      <selection activeCell="J4" sqref="J4"/>
    </sheetView>
  </sheetViews>
  <sheetFormatPr defaultRowHeight="12.75"/>
  <cols>
    <col min="1" max="1" width="13.625" style="2" customWidth="1"/>
    <col min="2" max="2" width="22.125" style="2" customWidth="1"/>
    <col min="3" max="3" width="6.375" style="2" customWidth="1"/>
    <col min="4" max="4" width="6.75" style="2" customWidth="1"/>
    <col min="5" max="5" width="6" style="2" customWidth="1"/>
    <col min="6" max="6" width="6.375" style="2" customWidth="1"/>
    <col min="7" max="7" width="6.875" style="2" customWidth="1"/>
    <col min="8" max="8" width="11.125" style="2" customWidth="1"/>
    <col min="9" max="9" width="7.875" style="2" customWidth="1"/>
    <col min="10" max="16384" width="9" style="2"/>
  </cols>
  <sheetData>
    <row r="1" spans="1:9" ht="3.95" customHeight="1">
      <c r="A1" s="36"/>
      <c r="B1" s="36"/>
      <c r="C1" s="36"/>
      <c r="D1" s="36"/>
      <c r="E1" s="36"/>
      <c r="F1" s="36"/>
      <c r="G1" s="36"/>
      <c r="H1" s="36"/>
      <c r="I1" s="36"/>
    </row>
    <row r="2" spans="1:9" ht="3.95" customHeight="1">
      <c r="A2" s="3"/>
      <c r="B2" s="3"/>
      <c r="C2" s="4"/>
      <c r="D2" s="3"/>
      <c r="E2" s="3"/>
      <c r="F2" s="3"/>
      <c r="G2" s="3"/>
      <c r="H2" s="5"/>
      <c r="I2" s="4"/>
    </row>
    <row r="3" spans="1:9" ht="13.5" customHeight="1">
      <c r="A3" s="3" t="s">
        <v>0</v>
      </c>
      <c r="B3" s="6" t="s">
        <v>43</v>
      </c>
      <c r="C3" s="7" t="s">
        <v>32</v>
      </c>
      <c r="D3" s="6" t="s">
        <v>33</v>
      </c>
      <c r="E3" s="6" t="s">
        <v>33</v>
      </c>
      <c r="F3" s="6" t="s">
        <v>34</v>
      </c>
      <c r="G3" s="6" t="s">
        <v>35</v>
      </c>
      <c r="H3" s="8" t="s">
        <v>44</v>
      </c>
      <c r="I3" s="7" t="s">
        <v>90</v>
      </c>
    </row>
    <row r="4" spans="1:9" ht="12.75" customHeight="1">
      <c r="A4" s="9"/>
      <c r="B4" s="9"/>
      <c r="C4" s="10"/>
      <c r="D4" s="10" t="s">
        <v>36</v>
      </c>
      <c r="E4" s="10" t="s">
        <v>37</v>
      </c>
      <c r="F4" s="6" t="s">
        <v>45</v>
      </c>
      <c r="G4" s="10" t="s">
        <v>38</v>
      </c>
      <c r="H4" s="11" t="s">
        <v>1</v>
      </c>
      <c r="I4" s="7"/>
    </row>
    <row r="5" spans="1:9" ht="16.5" customHeight="1">
      <c r="A5" s="9"/>
      <c r="B5" s="9"/>
      <c r="C5" s="7" t="s">
        <v>46</v>
      </c>
      <c r="D5" s="6" t="s">
        <v>47</v>
      </c>
      <c r="E5" s="6" t="s">
        <v>48</v>
      </c>
      <c r="F5" s="6"/>
      <c r="G5" s="6" t="s">
        <v>73</v>
      </c>
      <c r="H5" s="8" t="s">
        <v>39</v>
      </c>
      <c r="I5" s="7"/>
    </row>
    <row r="6" spans="1:9" ht="3.95" customHeight="1">
      <c r="A6" s="12"/>
      <c r="B6" s="12"/>
      <c r="C6" s="12"/>
      <c r="D6" s="12"/>
      <c r="E6" s="12"/>
      <c r="F6" s="12"/>
      <c r="G6" s="12"/>
      <c r="H6" s="13"/>
      <c r="I6" s="14"/>
    </row>
    <row r="7" spans="1:9" ht="3.95" customHeight="1">
      <c r="A7" s="6"/>
      <c r="B7" s="6"/>
      <c r="C7" s="6"/>
      <c r="D7" s="6"/>
      <c r="E7" s="6"/>
      <c r="F7" s="6"/>
      <c r="G7" s="6"/>
      <c r="H7" s="15"/>
      <c r="I7" s="7"/>
    </row>
    <row r="8" spans="1:9" ht="12" customHeight="1">
      <c r="A8" s="10" t="s">
        <v>9</v>
      </c>
      <c r="B8" s="16" t="s">
        <v>2</v>
      </c>
      <c r="C8" s="17">
        <v>2.7</v>
      </c>
      <c r="D8" s="18">
        <v>0.17850000000000002</v>
      </c>
      <c r="E8" s="19">
        <v>1.1599999999999999</v>
      </c>
      <c r="F8" s="20">
        <f>E8*E8/D8</f>
        <v>7.538375350140055</v>
      </c>
      <c r="G8" s="20">
        <f>9.81*C8/D8</f>
        <v>148.38655462184875</v>
      </c>
      <c r="H8" s="21" t="s">
        <v>49</v>
      </c>
      <c r="I8" s="22">
        <v>1</v>
      </c>
    </row>
    <row r="9" spans="1:9" ht="12" customHeight="1">
      <c r="A9" s="10" t="s">
        <v>9</v>
      </c>
      <c r="B9" s="16" t="s">
        <v>10</v>
      </c>
      <c r="C9" s="17">
        <v>2.6</v>
      </c>
      <c r="D9" s="18">
        <v>0.18000000000000002</v>
      </c>
      <c r="E9" s="19">
        <v>1.1300000000000001</v>
      </c>
      <c r="F9" s="20">
        <f t="shared" ref="F9:F59" si="0">E9*E9/D9</f>
        <v>7.0938888888888902</v>
      </c>
      <c r="G9" s="20">
        <f t="shared" ref="G9:G59" si="1">9.81*C9/D9</f>
        <v>141.70000000000002</v>
      </c>
      <c r="H9" s="21" t="s">
        <v>49</v>
      </c>
      <c r="I9" s="22">
        <v>1</v>
      </c>
    </row>
    <row r="10" spans="1:9" ht="12" customHeight="1">
      <c r="A10" s="10" t="s">
        <v>9</v>
      </c>
      <c r="B10" s="16" t="s">
        <v>10</v>
      </c>
      <c r="C10" s="17">
        <v>1.45</v>
      </c>
      <c r="D10" s="18">
        <v>0.13800000000000001</v>
      </c>
      <c r="E10" s="19">
        <v>1.02</v>
      </c>
      <c r="F10" s="20">
        <f t="shared" si="0"/>
        <v>7.5391304347826082</v>
      </c>
      <c r="G10" s="20">
        <f t="shared" si="1"/>
        <v>103.07608695652173</v>
      </c>
      <c r="H10" s="21" t="s">
        <v>49</v>
      </c>
      <c r="I10" s="22">
        <v>1</v>
      </c>
    </row>
    <row r="11" spans="1:9" ht="12" customHeight="1">
      <c r="A11" s="10" t="s">
        <v>9</v>
      </c>
      <c r="B11" s="16" t="s">
        <v>10</v>
      </c>
      <c r="C11" s="19">
        <v>1.35</v>
      </c>
      <c r="D11" s="23">
        <v>9.9500000000000005E-2</v>
      </c>
      <c r="E11" s="19">
        <v>0.82000000000000006</v>
      </c>
      <c r="F11" s="20">
        <f t="shared" si="0"/>
        <v>6.757788944723619</v>
      </c>
      <c r="G11" s="20">
        <f t="shared" si="1"/>
        <v>133.10050251256283</v>
      </c>
      <c r="H11" s="21" t="s">
        <v>49</v>
      </c>
      <c r="I11" s="22">
        <v>1</v>
      </c>
    </row>
    <row r="12" spans="1:9" ht="12" customHeight="1">
      <c r="A12" s="10" t="s">
        <v>9</v>
      </c>
      <c r="B12" s="16" t="s">
        <v>10</v>
      </c>
      <c r="C12" s="19">
        <v>1.03</v>
      </c>
      <c r="D12" s="23">
        <v>8.5000000000000006E-2</v>
      </c>
      <c r="E12" s="19">
        <v>0.8</v>
      </c>
      <c r="F12" s="20">
        <f t="shared" si="0"/>
        <v>7.5294117647058831</v>
      </c>
      <c r="G12" s="20">
        <f t="shared" si="1"/>
        <v>118.87411764705882</v>
      </c>
      <c r="H12" s="21" t="s">
        <v>49</v>
      </c>
      <c r="I12" s="22">
        <v>1</v>
      </c>
    </row>
    <row r="13" spans="1:9" ht="12" customHeight="1">
      <c r="A13" s="10" t="s">
        <v>9</v>
      </c>
      <c r="B13" s="16" t="s">
        <v>10</v>
      </c>
      <c r="C13" s="19">
        <v>1.2</v>
      </c>
      <c r="D13" s="23">
        <v>8.8000000000000009E-2</v>
      </c>
      <c r="E13" s="19">
        <v>0.87</v>
      </c>
      <c r="F13" s="20">
        <f t="shared" si="0"/>
        <v>8.6011363636363622</v>
      </c>
      <c r="G13" s="20">
        <f t="shared" si="1"/>
        <v>133.77272727272725</v>
      </c>
      <c r="H13" s="21" t="s">
        <v>49</v>
      </c>
      <c r="I13" s="22">
        <v>1</v>
      </c>
    </row>
    <row r="14" spans="1:9" ht="12" customHeight="1">
      <c r="A14" s="10" t="s">
        <v>9</v>
      </c>
      <c r="B14" s="16" t="s">
        <v>10</v>
      </c>
      <c r="C14" s="19">
        <v>0.73</v>
      </c>
      <c r="D14" s="23">
        <v>5.3000000000000005E-2</v>
      </c>
      <c r="E14" s="19">
        <v>0.625</v>
      </c>
      <c r="F14" s="20">
        <f t="shared" si="0"/>
        <v>7.3702830188679238</v>
      </c>
      <c r="G14" s="20">
        <f t="shared" si="1"/>
        <v>135.11886792452827</v>
      </c>
      <c r="H14" s="21" t="s">
        <v>49</v>
      </c>
      <c r="I14" s="22">
        <v>1</v>
      </c>
    </row>
    <row r="15" spans="1:9" ht="12" customHeight="1">
      <c r="A15" s="10" t="s">
        <v>9</v>
      </c>
      <c r="B15" s="16" t="s">
        <v>10</v>
      </c>
      <c r="C15" s="19">
        <v>1</v>
      </c>
      <c r="D15" s="23">
        <v>7.7499999999999999E-2</v>
      </c>
      <c r="E15" s="19">
        <v>0.75</v>
      </c>
      <c r="F15" s="20">
        <f t="shared" si="0"/>
        <v>7.258064516129032</v>
      </c>
      <c r="G15" s="20">
        <f t="shared" si="1"/>
        <v>126.58064516129033</v>
      </c>
      <c r="H15" s="21" t="s">
        <v>49</v>
      </c>
      <c r="I15" s="22">
        <v>1</v>
      </c>
    </row>
    <row r="16" spans="1:9" ht="12" customHeight="1">
      <c r="A16" s="10" t="s">
        <v>9</v>
      </c>
      <c r="B16" s="16" t="s">
        <v>11</v>
      </c>
      <c r="C16" s="19">
        <v>0.37</v>
      </c>
      <c r="D16" s="23">
        <v>3.4000000000000002E-2</v>
      </c>
      <c r="E16" s="19">
        <v>0.52</v>
      </c>
      <c r="F16" s="20">
        <f t="shared" si="0"/>
        <v>7.9529411764705884</v>
      </c>
      <c r="G16" s="20">
        <f t="shared" si="1"/>
        <v>106.75588235294117</v>
      </c>
      <c r="H16" s="21" t="s">
        <v>49</v>
      </c>
      <c r="I16" s="22">
        <v>1</v>
      </c>
    </row>
    <row r="17" spans="1:9" ht="12" customHeight="1">
      <c r="A17" s="10" t="s">
        <v>9</v>
      </c>
      <c r="B17" s="16" t="s">
        <v>11</v>
      </c>
      <c r="C17" s="19">
        <v>0.375</v>
      </c>
      <c r="D17" s="23">
        <v>3.7499999999999999E-2</v>
      </c>
      <c r="E17" s="19">
        <v>0.51</v>
      </c>
      <c r="F17" s="20">
        <f t="shared" si="0"/>
        <v>6.9359999999999999</v>
      </c>
      <c r="G17" s="20">
        <f t="shared" si="1"/>
        <v>98.100000000000009</v>
      </c>
      <c r="H17" s="21" t="s">
        <v>49</v>
      </c>
      <c r="I17" s="22">
        <v>1</v>
      </c>
    </row>
    <row r="18" spans="1:9" ht="12" customHeight="1">
      <c r="A18" s="10" t="s">
        <v>9</v>
      </c>
      <c r="B18" s="16" t="s">
        <v>12</v>
      </c>
      <c r="C18" s="19">
        <v>0.53</v>
      </c>
      <c r="D18" s="23">
        <v>6.4000000000000001E-2</v>
      </c>
      <c r="E18" s="19">
        <v>0.66</v>
      </c>
      <c r="F18" s="20">
        <f t="shared" si="0"/>
        <v>6.8062500000000004</v>
      </c>
      <c r="G18" s="20">
        <f t="shared" si="1"/>
        <v>81.239062500000017</v>
      </c>
      <c r="H18" s="21" t="s">
        <v>49</v>
      </c>
      <c r="I18" s="22">
        <v>1</v>
      </c>
    </row>
    <row r="19" spans="1:9" ht="12" customHeight="1">
      <c r="A19" s="10" t="s">
        <v>9</v>
      </c>
      <c r="B19" s="16" t="s">
        <v>12</v>
      </c>
      <c r="C19" s="19">
        <v>0.65</v>
      </c>
      <c r="D19" s="23">
        <v>4.5200000000000004E-2</v>
      </c>
      <c r="E19" s="19">
        <v>0.6</v>
      </c>
      <c r="F19" s="20">
        <f t="shared" si="0"/>
        <v>7.9646017699115035</v>
      </c>
      <c r="G19" s="20">
        <f t="shared" si="1"/>
        <v>141.07300884955754</v>
      </c>
      <c r="H19" s="21" t="s">
        <v>49</v>
      </c>
      <c r="I19" s="22">
        <v>1</v>
      </c>
    </row>
    <row r="20" spans="1:9" ht="12" customHeight="1">
      <c r="A20" s="10" t="s">
        <v>9</v>
      </c>
      <c r="B20" s="16" t="s">
        <v>13</v>
      </c>
      <c r="C20" s="19">
        <v>0.38</v>
      </c>
      <c r="D20" s="23">
        <v>0.04</v>
      </c>
      <c r="E20" s="19">
        <v>0.51</v>
      </c>
      <c r="F20" s="20">
        <f t="shared" si="0"/>
        <v>6.5024999999999995</v>
      </c>
      <c r="G20" s="20">
        <f t="shared" si="1"/>
        <v>93.195000000000007</v>
      </c>
      <c r="H20" s="21" t="s">
        <v>49</v>
      </c>
      <c r="I20" s="22">
        <v>1</v>
      </c>
    </row>
    <row r="21" spans="1:9" ht="12" customHeight="1">
      <c r="A21" s="10" t="s">
        <v>9</v>
      </c>
      <c r="B21" s="16" t="s">
        <v>50</v>
      </c>
      <c r="C21" s="19">
        <v>0.45</v>
      </c>
      <c r="D21" s="23">
        <v>3.6500000000000005E-2</v>
      </c>
      <c r="E21" s="19">
        <v>0.6</v>
      </c>
      <c r="F21" s="20">
        <f t="shared" si="0"/>
        <v>9.8630136986301356</v>
      </c>
      <c r="G21" s="20">
        <f t="shared" si="1"/>
        <v>120.94520547945204</v>
      </c>
      <c r="H21" s="21" t="s">
        <v>49</v>
      </c>
      <c r="I21" s="22">
        <v>1</v>
      </c>
    </row>
    <row r="22" spans="1:9" ht="12" customHeight="1">
      <c r="A22" s="10" t="s">
        <v>9</v>
      </c>
      <c r="B22" s="16" t="s">
        <v>50</v>
      </c>
      <c r="C22" s="19">
        <v>0.32</v>
      </c>
      <c r="D22" s="23">
        <v>3.3600000000000005E-2</v>
      </c>
      <c r="E22" s="19">
        <v>0.51</v>
      </c>
      <c r="F22" s="20">
        <f t="shared" si="0"/>
        <v>7.741071428571427</v>
      </c>
      <c r="G22" s="20">
        <f t="shared" si="1"/>
        <v>93.428571428571416</v>
      </c>
      <c r="H22" s="21" t="s">
        <v>49</v>
      </c>
      <c r="I22" s="22">
        <v>1</v>
      </c>
    </row>
    <row r="23" spans="1:9" ht="12" customHeight="1">
      <c r="A23" s="10" t="s">
        <v>9</v>
      </c>
      <c r="B23" s="16" t="s">
        <v>50</v>
      </c>
      <c r="C23" s="19">
        <v>0.372</v>
      </c>
      <c r="D23" s="23">
        <v>3.8200000000000005E-2</v>
      </c>
      <c r="E23" s="19">
        <v>0.49</v>
      </c>
      <c r="F23" s="20">
        <f t="shared" si="0"/>
        <v>6.2853403141361239</v>
      </c>
      <c r="G23" s="20">
        <f t="shared" si="1"/>
        <v>95.53193717277486</v>
      </c>
      <c r="H23" s="21" t="s">
        <v>49</v>
      </c>
      <c r="I23" s="22">
        <v>1</v>
      </c>
    </row>
    <row r="24" spans="1:9" ht="12" customHeight="1">
      <c r="A24" s="10" t="s">
        <v>9</v>
      </c>
      <c r="B24" s="16" t="s">
        <v>50</v>
      </c>
      <c r="C24" s="19">
        <v>0.375</v>
      </c>
      <c r="D24" s="23">
        <v>3.6600000000000001E-2</v>
      </c>
      <c r="E24" s="19">
        <v>0.53</v>
      </c>
      <c r="F24" s="20">
        <f t="shared" si="0"/>
        <v>7.6748633879781432</v>
      </c>
      <c r="G24" s="20">
        <f t="shared" si="1"/>
        <v>100.51229508196721</v>
      </c>
      <c r="H24" s="21" t="s">
        <v>49</v>
      </c>
      <c r="I24" s="22">
        <v>1</v>
      </c>
    </row>
    <row r="25" spans="1:9" ht="12" customHeight="1">
      <c r="A25" s="10" t="s">
        <v>9</v>
      </c>
      <c r="B25" s="16" t="s">
        <v>74</v>
      </c>
      <c r="C25" s="19">
        <v>3.1</v>
      </c>
      <c r="D25" s="23">
        <v>0.34800000000000003</v>
      </c>
      <c r="E25" s="19">
        <v>1.28</v>
      </c>
      <c r="F25" s="20">
        <f t="shared" si="0"/>
        <v>4.7080459770114942</v>
      </c>
      <c r="G25" s="20">
        <f t="shared" si="1"/>
        <v>87.387931034482762</v>
      </c>
      <c r="H25" s="21" t="s">
        <v>49</v>
      </c>
      <c r="I25" s="22">
        <v>1</v>
      </c>
    </row>
    <row r="26" spans="1:9" ht="12" customHeight="1">
      <c r="A26" s="10" t="s">
        <v>9</v>
      </c>
      <c r="B26" s="16" t="s">
        <v>14</v>
      </c>
      <c r="C26" s="19">
        <v>0.95000000000000007</v>
      </c>
      <c r="D26" s="23">
        <v>7.5499999999999998E-2</v>
      </c>
      <c r="E26" s="19">
        <v>0.64</v>
      </c>
      <c r="F26" s="20">
        <f t="shared" si="0"/>
        <v>5.4251655629139073</v>
      </c>
      <c r="G26" s="20">
        <f t="shared" si="1"/>
        <v>123.43708609271525</v>
      </c>
      <c r="H26" s="21" t="s">
        <v>49</v>
      </c>
      <c r="I26" s="22">
        <v>1</v>
      </c>
    </row>
    <row r="27" spans="1:9" ht="12" customHeight="1">
      <c r="A27" s="10" t="s">
        <v>9</v>
      </c>
      <c r="B27" s="16" t="s">
        <v>14</v>
      </c>
      <c r="C27" s="19">
        <v>1.1000000000000001</v>
      </c>
      <c r="D27" s="23">
        <v>8.5500000000000007E-2</v>
      </c>
      <c r="E27" s="19">
        <v>0.72</v>
      </c>
      <c r="F27" s="20">
        <f t="shared" si="0"/>
        <v>6.0631578947368414</v>
      </c>
      <c r="G27" s="20">
        <f t="shared" si="1"/>
        <v>126.21052631578949</v>
      </c>
      <c r="H27" s="21" t="s">
        <v>49</v>
      </c>
      <c r="I27" s="22">
        <v>1</v>
      </c>
    </row>
    <row r="28" spans="1:9" ht="12" customHeight="1">
      <c r="A28" s="10" t="s">
        <v>9</v>
      </c>
      <c r="B28" s="16" t="s">
        <v>14</v>
      </c>
      <c r="C28" s="19">
        <v>1</v>
      </c>
      <c r="D28" s="23">
        <v>8.8000000000000009E-2</v>
      </c>
      <c r="E28" s="19">
        <v>0.76</v>
      </c>
      <c r="F28" s="20">
        <f t="shared" si="0"/>
        <v>6.5636363636363626</v>
      </c>
      <c r="G28" s="20">
        <f t="shared" si="1"/>
        <v>111.47727272727272</v>
      </c>
      <c r="H28" s="21" t="s">
        <v>49</v>
      </c>
      <c r="I28" s="22">
        <v>1</v>
      </c>
    </row>
    <row r="29" spans="1:9" ht="12" customHeight="1">
      <c r="A29" s="10" t="s">
        <v>9</v>
      </c>
      <c r="B29" s="16" t="s">
        <v>14</v>
      </c>
      <c r="C29" s="19">
        <v>1.57</v>
      </c>
      <c r="D29" s="23">
        <v>8.950000000000001E-2</v>
      </c>
      <c r="E29" s="19">
        <v>0.72</v>
      </c>
      <c r="F29" s="20">
        <f t="shared" si="0"/>
        <v>5.7921787709497199</v>
      </c>
      <c r="G29" s="20">
        <f t="shared" si="1"/>
        <v>172.08603351955307</v>
      </c>
      <c r="H29" s="21" t="s">
        <v>49</v>
      </c>
      <c r="I29" s="22">
        <v>1</v>
      </c>
    </row>
    <row r="30" spans="1:9" ht="12" customHeight="1">
      <c r="A30" s="10" t="s">
        <v>9</v>
      </c>
      <c r="B30" s="16" t="s">
        <v>14</v>
      </c>
      <c r="C30" s="19">
        <v>1.25</v>
      </c>
      <c r="D30" s="23">
        <v>8.9599999999999999E-2</v>
      </c>
      <c r="E30" s="19">
        <v>0.72</v>
      </c>
      <c r="F30" s="20">
        <f t="shared" si="0"/>
        <v>5.7857142857142856</v>
      </c>
      <c r="G30" s="20">
        <f t="shared" si="1"/>
        <v>136.85825892857144</v>
      </c>
      <c r="H30" s="21" t="s">
        <v>49</v>
      </c>
      <c r="I30" s="22">
        <v>1</v>
      </c>
    </row>
    <row r="31" spans="1:9" ht="12" customHeight="1">
      <c r="A31" s="10" t="s">
        <v>9</v>
      </c>
      <c r="B31" s="16" t="s">
        <v>14</v>
      </c>
      <c r="C31" s="19">
        <v>1.125</v>
      </c>
      <c r="D31" s="23">
        <v>9.0000000000000011E-2</v>
      </c>
      <c r="E31" s="19">
        <v>0.73</v>
      </c>
      <c r="F31" s="20">
        <f t="shared" si="0"/>
        <v>5.9211111111111094</v>
      </c>
      <c r="G31" s="20">
        <f t="shared" si="1"/>
        <v>122.625</v>
      </c>
      <c r="H31" s="21" t="s">
        <v>49</v>
      </c>
      <c r="I31" s="22">
        <v>1</v>
      </c>
    </row>
    <row r="32" spans="1:9" ht="12" customHeight="1">
      <c r="A32" s="10" t="s">
        <v>15</v>
      </c>
      <c r="B32" s="16" t="s">
        <v>16</v>
      </c>
      <c r="C32" s="17">
        <v>0.23200000000000001</v>
      </c>
      <c r="D32" s="18">
        <v>5.9800000000000006E-2</v>
      </c>
      <c r="E32" s="19">
        <v>0.70000000000000007</v>
      </c>
      <c r="F32" s="20">
        <f t="shared" si="0"/>
        <v>8.1939799331103682</v>
      </c>
      <c r="G32" s="20">
        <f t="shared" si="1"/>
        <v>38.058862876254182</v>
      </c>
      <c r="H32" s="21" t="s">
        <v>49</v>
      </c>
      <c r="I32" s="22">
        <v>1</v>
      </c>
    </row>
    <row r="33" spans="1:9" ht="12" customHeight="1">
      <c r="A33" s="10" t="s">
        <v>15</v>
      </c>
      <c r="B33" s="16" t="s">
        <v>16</v>
      </c>
      <c r="C33" s="17">
        <v>0.24199999999999999</v>
      </c>
      <c r="D33" s="18">
        <v>5.4100000000000002E-2</v>
      </c>
      <c r="E33" s="19">
        <v>0.64</v>
      </c>
      <c r="F33" s="20">
        <f t="shared" si="0"/>
        <v>7.5711645101663585</v>
      </c>
      <c r="G33" s="20">
        <f t="shared" si="1"/>
        <v>43.882070240295754</v>
      </c>
      <c r="H33" s="21" t="s">
        <v>49</v>
      </c>
      <c r="I33" s="22">
        <v>1</v>
      </c>
    </row>
    <row r="34" spans="1:9" ht="12" customHeight="1">
      <c r="A34" s="10" t="s">
        <v>15</v>
      </c>
      <c r="B34" s="16" t="s">
        <v>16</v>
      </c>
      <c r="C34" s="17">
        <v>0.33500000000000002</v>
      </c>
      <c r="D34" s="18">
        <v>6.5000000000000002E-2</v>
      </c>
      <c r="E34" s="19">
        <v>0.64</v>
      </c>
      <c r="F34" s="20">
        <f t="shared" si="0"/>
        <v>6.3015384615384615</v>
      </c>
      <c r="G34" s="20">
        <f t="shared" si="1"/>
        <v>50.559230769230773</v>
      </c>
      <c r="H34" s="21" t="s">
        <v>49</v>
      </c>
      <c r="I34" s="22">
        <v>1</v>
      </c>
    </row>
    <row r="35" spans="1:9" ht="12" customHeight="1">
      <c r="A35" s="10" t="s">
        <v>51</v>
      </c>
      <c r="B35" s="16" t="s">
        <v>17</v>
      </c>
      <c r="C35" s="17">
        <v>8.9</v>
      </c>
      <c r="D35" s="18">
        <v>0.57290000000000008</v>
      </c>
      <c r="E35" s="17">
        <v>2.0699999999999998</v>
      </c>
      <c r="F35" s="20">
        <f t="shared" si="0"/>
        <v>7.4793157619130719</v>
      </c>
      <c r="G35" s="20">
        <f t="shared" si="1"/>
        <v>152.39832431488915</v>
      </c>
      <c r="H35" s="21" t="s">
        <v>49</v>
      </c>
      <c r="I35" s="22">
        <v>1</v>
      </c>
    </row>
    <row r="36" spans="1:9" ht="12" customHeight="1">
      <c r="A36" s="10" t="s">
        <v>51</v>
      </c>
      <c r="B36" s="16" t="s">
        <v>17</v>
      </c>
      <c r="C36" s="17">
        <v>9.6</v>
      </c>
      <c r="D36" s="18">
        <v>0.59370000000000001</v>
      </c>
      <c r="E36" s="17">
        <v>2.08</v>
      </c>
      <c r="F36" s="20">
        <f t="shared" si="0"/>
        <v>7.2871820784908206</v>
      </c>
      <c r="G36" s="20">
        <f t="shared" si="1"/>
        <v>158.62556846892369</v>
      </c>
      <c r="H36" s="21" t="s">
        <v>49</v>
      </c>
      <c r="I36" s="22">
        <v>1</v>
      </c>
    </row>
    <row r="37" spans="1:9" ht="12" customHeight="1">
      <c r="A37" s="10" t="s">
        <v>18</v>
      </c>
      <c r="B37" s="16" t="s">
        <v>75</v>
      </c>
      <c r="C37" s="19">
        <v>0.60599999999999998</v>
      </c>
      <c r="D37" s="23">
        <v>6.4200000000000007E-2</v>
      </c>
      <c r="E37" s="19">
        <v>0.78</v>
      </c>
      <c r="F37" s="20">
        <f t="shared" si="0"/>
        <v>9.4766355140186906</v>
      </c>
      <c r="G37" s="20">
        <f t="shared" si="1"/>
        <v>92.599065420560748</v>
      </c>
      <c r="H37" s="21" t="s">
        <v>52</v>
      </c>
      <c r="I37" s="22">
        <v>1</v>
      </c>
    </row>
    <row r="38" spans="1:9" ht="12" customHeight="1">
      <c r="A38" s="10" t="s">
        <v>18</v>
      </c>
      <c r="B38" s="16" t="s">
        <v>76</v>
      </c>
      <c r="C38" s="19">
        <v>0.88</v>
      </c>
      <c r="D38" s="23">
        <v>6.8500000000000005E-2</v>
      </c>
      <c r="E38" s="19">
        <v>0.83000000000000007</v>
      </c>
      <c r="F38" s="20">
        <f t="shared" si="0"/>
        <v>10.056934306569342</v>
      </c>
      <c r="G38" s="20">
        <f t="shared" si="1"/>
        <v>126.02627737226278</v>
      </c>
      <c r="H38" s="21" t="s">
        <v>52</v>
      </c>
      <c r="I38" s="22">
        <v>1</v>
      </c>
    </row>
    <row r="39" spans="1:9" ht="12" customHeight="1">
      <c r="A39" s="10" t="s">
        <v>18</v>
      </c>
      <c r="B39" s="16" t="s">
        <v>76</v>
      </c>
      <c r="C39" s="19">
        <v>1.1000000000000001</v>
      </c>
      <c r="D39" s="23">
        <v>9.0000000000000011E-2</v>
      </c>
      <c r="E39" s="19">
        <v>0.94000000000000006</v>
      </c>
      <c r="F39" s="20">
        <f t="shared" si="0"/>
        <v>9.8177777777777777</v>
      </c>
      <c r="G39" s="20">
        <f t="shared" si="1"/>
        <v>119.9</v>
      </c>
      <c r="H39" s="21" t="s">
        <v>52</v>
      </c>
      <c r="I39" s="22">
        <v>1</v>
      </c>
    </row>
    <row r="40" spans="1:9" ht="12" customHeight="1">
      <c r="A40" s="10" t="s">
        <v>18</v>
      </c>
      <c r="B40" s="16" t="s">
        <v>76</v>
      </c>
      <c r="C40" s="19">
        <v>0.9</v>
      </c>
      <c r="D40" s="23">
        <v>7.1000000000000008E-2</v>
      </c>
      <c r="E40" s="19">
        <v>0.83499999999999996</v>
      </c>
      <c r="F40" s="20">
        <f t="shared" si="0"/>
        <v>9.8200704225352098</v>
      </c>
      <c r="G40" s="20">
        <f t="shared" si="1"/>
        <v>124.35211267605634</v>
      </c>
      <c r="H40" s="21" t="s">
        <v>52</v>
      </c>
      <c r="I40" s="22">
        <v>1</v>
      </c>
    </row>
    <row r="41" spans="1:9" ht="12" customHeight="1">
      <c r="A41" s="10" t="s">
        <v>18</v>
      </c>
      <c r="B41" s="16" t="s">
        <v>76</v>
      </c>
      <c r="C41" s="19">
        <v>0.9</v>
      </c>
      <c r="D41" s="23">
        <v>7.350000000000001E-2</v>
      </c>
      <c r="E41" s="19">
        <v>0.89</v>
      </c>
      <c r="F41" s="20">
        <f t="shared" si="0"/>
        <v>10.776870748299318</v>
      </c>
      <c r="G41" s="20">
        <f t="shared" si="1"/>
        <v>120.12244897959182</v>
      </c>
      <c r="H41" s="21" t="s">
        <v>52</v>
      </c>
      <c r="I41" s="22">
        <v>1</v>
      </c>
    </row>
    <row r="42" spans="1:9" ht="12" customHeight="1">
      <c r="A42" s="10" t="s">
        <v>18</v>
      </c>
      <c r="B42" s="16" t="s">
        <v>76</v>
      </c>
      <c r="C42" s="19">
        <v>0.95000000000000007</v>
      </c>
      <c r="D42" s="23">
        <v>8.3799999999999999E-2</v>
      </c>
      <c r="E42" s="19">
        <v>0.875</v>
      </c>
      <c r="F42" s="20">
        <f t="shared" si="0"/>
        <v>9.1363365155131273</v>
      </c>
      <c r="G42" s="20">
        <f t="shared" si="1"/>
        <v>111.2112171837709</v>
      </c>
      <c r="H42" s="21" t="s">
        <v>52</v>
      </c>
      <c r="I42" s="22">
        <v>1</v>
      </c>
    </row>
    <row r="43" spans="1:9" ht="12" customHeight="1">
      <c r="A43" s="10" t="s">
        <v>18</v>
      </c>
      <c r="B43" s="16" t="s">
        <v>76</v>
      </c>
      <c r="C43" s="19">
        <v>0.9</v>
      </c>
      <c r="D43" s="23">
        <v>8.1299999999999997E-2</v>
      </c>
      <c r="E43" s="19">
        <v>0.88</v>
      </c>
      <c r="F43" s="20">
        <f t="shared" si="0"/>
        <v>9.5252152521525222</v>
      </c>
      <c r="G43" s="20">
        <f t="shared" si="1"/>
        <v>108.59778597785979</v>
      </c>
      <c r="H43" s="21" t="s">
        <v>52</v>
      </c>
      <c r="I43" s="22">
        <v>1</v>
      </c>
    </row>
    <row r="44" spans="1:9" ht="12" customHeight="1">
      <c r="A44" s="10" t="s">
        <v>18</v>
      </c>
      <c r="B44" s="16" t="s">
        <v>76</v>
      </c>
      <c r="C44" s="19">
        <v>1</v>
      </c>
      <c r="D44" s="23">
        <v>6.8699999999999997E-2</v>
      </c>
      <c r="E44" s="19">
        <v>0.85</v>
      </c>
      <c r="F44" s="20">
        <f t="shared" si="0"/>
        <v>10.516739446870451</v>
      </c>
      <c r="G44" s="20">
        <f t="shared" si="1"/>
        <v>142.79475982532753</v>
      </c>
      <c r="H44" s="21" t="s">
        <v>52</v>
      </c>
      <c r="I44" s="22">
        <v>1</v>
      </c>
    </row>
    <row r="45" spans="1:9" ht="12" customHeight="1">
      <c r="A45" s="24" t="s">
        <v>18</v>
      </c>
      <c r="B45" s="25" t="s">
        <v>53</v>
      </c>
      <c r="C45" s="26">
        <v>3.07</v>
      </c>
      <c r="D45" s="27">
        <v>0.4365</v>
      </c>
      <c r="E45" s="26">
        <v>1.83</v>
      </c>
      <c r="F45" s="20">
        <f t="shared" si="0"/>
        <v>7.6721649484536094</v>
      </c>
      <c r="G45" s="20">
        <f t="shared" si="1"/>
        <v>68.995876288659801</v>
      </c>
      <c r="H45" s="21" t="s">
        <v>52</v>
      </c>
      <c r="I45" s="28">
        <v>3</v>
      </c>
    </row>
    <row r="46" spans="1:9" ht="12" customHeight="1">
      <c r="A46" s="10" t="s">
        <v>18</v>
      </c>
      <c r="B46" s="16" t="s">
        <v>19</v>
      </c>
      <c r="C46" s="19">
        <v>1.1160000000000001</v>
      </c>
      <c r="D46" s="23">
        <v>8.950000000000001E-2</v>
      </c>
      <c r="E46" s="19">
        <v>1.04</v>
      </c>
      <c r="F46" s="20">
        <f t="shared" si="0"/>
        <v>12.084916201117318</v>
      </c>
      <c r="G46" s="20">
        <f t="shared" si="1"/>
        <v>122.32357541899442</v>
      </c>
      <c r="H46" s="21" t="s">
        <v>52</v>
      </c>
      <c r="I46" s="22">
        <v>1</v>
      </c>
    </row>
    <row r="47" spans="1:9" ht="12" customHeight="1">
      <c r="A47" s="10" t="s">
        <v>18</v>
      </c>
      <c r="B47" s="16" t="s">
        <v>77</v>
      </c>
      <c r="C47" s="19">
        <v>0.82700000000000007</v>
      </c>
      <c r="D47" s="23">
        <v>4.8000000000000001E-2</v>
      </c>
      <c r="E47" s="19">
        <v>0.69000000000000006</v>
      </c>
      <c r="F47" s="20">
        <f t="shared" si="0"/>
        <v>9.9187500000000011</v>
      </c>
      <c r="G47" s="20">
        <f t="shared" si="1"/>
        <v>169.01812500000003</v>
      </c>
      <c r="H47" s="21" t="s">
        <v>52</v>
      </c>
      <c r="I47" s="22">
        <v>1</v>
      </c>
    </row>
    <row r="48" spans="1:9" ht="12" customHeight="1">
      <c r="A48" s="10" t="s">
        <v>18</v>
      </c>
      <c r="B48" s="16" t="s">
        <v>78</v>
      </c>
      <c r="C48" s="19">
        <v>0.92200000000000004</v>
      </c>
      <c r="D48" s="23">
        <v>5.5E-2</v>
      </c>
      <c r="E48" s="19">
        <v>0.74</v>
      </c>
      <c r="F48" s="20">
        <f t="shared" si="0"/>
        <v>9.9563636363636352</v>
      </c>
      <c r="G48" s="20">
        <f t="shared" si="1"/>
        <v>164.45127272727277</v>
      </c>
      <c r="H48" s="21" t="s">
        <v>52</v>
      </c>
      <c r="I48" s="22">
        <v>1</v>
      </c>
    </row>
    <row r="49" spans="1:9" ht="12" customHeight="1">
      <c r="A49" s="10" t="s">
        <v>20</v>
      </c>
      <c r="B49" s="16" t="s">
        <v>54</v>
      </c>
      <c r="C49" s="19">
        <v>8.16</v>
      </c>
      <c r="D49" s="23">
        <v>0.66</v>
      </c>
      <c r="E49" s="19">
        <v>3.46</v>
      </c>
      <c r="F49" s="20">
        <f t="shared" si="0"/>
        <v>18.138787878787877</v>
      </c>
      <c r="G49" s="20">
        <f t="shared" si="1"/>
        <v>121.28727272727274</v>
      </c>
      <c r="H49" s="21" t="s">
        <v>52</v>
      </c>
      <c r="I49" s="22">
        <v>2</v>
      </c>
    </row>
    <row r="50" spans="1:9" ht="12" customHeight="1">
      <c r="A50" s="10" t="s">
        <v>20</v>
      </c>
      <c r="B50" s="16" t="s">
        <v>54</v>
      </c>
      <c r="C50" s="19">
        <v>8.73</v>
      </c>
      <c r="D50" s="23">
        <v>0.61</v>
      </c>
      <c r="E50" s="19">
        <v>3.03</v>
      </c>
      <c r="F50" s="20">
        <f t="shared" si="0"/>
        <v>15.050655737704917</v>
      </c>
      <c r="G50" s="20">
        <f t="shared" si="1"/>
        <v>140.39557377049184</v>
      </c>
      <c r="H50" s="21" t="s">
        <v>52</v>
      </c>
      <c r="I50" s="22">
        <v>2</v>
      </c>
    </row>
    <row r="51" spans="1:9" ht="12" customHeight="1">
      <c r="A51" s="10" t="s">
        <v>20</v>
      </c>
      <c r="B51" s="16" t="s">
        <v>55</v>
      </c>
      <c r="C51" s="19">
        <v>2.04</v>
      </c>
      <c r="D51" s="23">
        <v>0.36</v>
      </c>
      <c r="E51" s="19">
        <v>2.31</v>
      </c>
      <c r="F51" s="20">
        <f t="shared" si="0"/>
        <v>14.822500000000002</v>
      </c>
      <c r="G51" s="20">
        <f t="shared" si="1"/>
        <v>55.590000000000011</v>
      </c>
      <c r="H51" s="21" t="s">
        <v>52</v>
      </c>
      <c r="I51" s="22">
        <v>2</v>
      </c>
    </row>
    <row r="52" spans="1:9" ht="12" customHeight="1">
      <c r="A52" s="10" t="s">
        <v>20</v>
      </c>
      <c r="B52" s="16" t="s">
        <v>21</v>
      </c>
      <c r="C52" s="19">
        <v>3.79</v>
      </c>
      <c r="D52" s="23">
        <v>0.36</v>
      </c>
      <c r="E52" s="19">
        <v>2.16</v>
      </c>
      <c r="F52" s="20">
        <f t="shared" si="0"/>
        <v>12.96</v>
      </c>
      <c r="G52" s="20">
        <f t="shared" si="1"/>
        <v>103.27750000000002</v>
      </c>
      <c r="H52" s="21" t="s">
        <v>52</v>
      </c>
      <c r="I52" s="22">
        <v>2</v>
      </c>
    </row>
    <row r="53" spans="1:9" ht="12" customHeight="1">
      <c r="A53" s="10" t="s">
        <v>20</v>
      </c>
      <c r="B53" s="16" t="s">
        <v>3</v>
      </c>
      <c r="C53" s="19">
        <v>3.79</v>
      </c>
      <c r="D53" s="23">
        <v>0.35</v>
      </c>
      <c r="E53" s="19">
        <v>2.1800000000000002</v>
      </c>
      <c r="F53" s="20">
        <f t="shared" si="0"/>
        <v>13.578285714285716</v>
      </c>
      <c r="G53" s="20">
        <f t="shared" si="1"/>
        <v>106.22828571428573</v>
      </c>
      <c r="H53" s="21" t="s">
        <v>52</v>
      </c>
      <c r="I53" s="22">
        <v>2</v>
      </c>
    </row>
    <row r="54" spans="1:9" ht="12" customHeight="1">
      <c r="A54" s="10" t="s">
        <v>20</v>
      </c>
      <c r="B54" s="16" t="s">
        <v>56</v>
      </c>
      <c r="C54" s="19">
        <v>2.84</v>
      </c>
      <c r="D54" s="23">
        <v>0.34</v>
      </c>
      <c r="E54" s="19">
        <v>2.1800000000000002</v>
      </c>
      <c r="F54" s="20">
        <f t="shared" si="0"/>
        <v>13.97764705882353</v>
      </c>
      <c r="G54" s="20">
        <f t="shared" si="1"/>
        <v>81.942352941176466</v>
      </c>
      <c r="H54" s="21" t="s">
        <v>52</v>
      </c>
      <c r="I54" s="22">
        <v>2</v>
      </c>
    </row>
    <row r="55" spans="1:9" ht="12" customHeight="1">
      <c r="A55" s="10" t="s">
        <v>20</v>
      </c>
      <c r="B55" s="16" t="s">
        <v>4</v>
      </c>
      <c r="C55" s="19">
        <v>5.19</v>
      </c>
      <c r="D55" s="23">
        <v>0.33</v>
      </c>
      <c r="E55" s="19">
        <v>1.99</v>
      </c>
      <c r="F55" s="20">
        <f t="shared" si="0"/>
        <v>12.00030303030303</v>
      </c>
      <c r="G55" s="20">
        <f t="shared" si="1"/>
        <v>154.28454545454545</v>
      </c>
      <c r="H55" s="21" t="s">
        <v>52</v>
      </c>
      <c r="I55" s="22">
        <v>2</v>
      </c>
    </row>
    <row r="56" spans="1:9" ht="12" customHeight="1">
      <c r="A56" s="10" t="s">
        <v>20</v>
      </c>
      <c r="B56" s="16" t="s">
        <v>57</v>
      </c>
      <c r="C56" s="19">
        <v>1.37</v>
      </c>
      <c r="D56" s="23">
        <v>0.17</v>
      </c>
      <c r="E56" s="19">
        <v>1.4</v>
      </c>
      <c r="F56" s="20">
        <f t="shared" si="0"/>
        <v>11.52941176470588</v>
      </c>
      <c r="G56" s="20">
        <f t="shared" si="1"/>
        <v>79.057058823529417</v>
      </c>
      <c r="H56" s="21" t="s">
        <v>52</v>
      </c>
      <c r="I56" s="22">
        <v>2</v>
      </c>
    </row>
    <row r="57" spans="1:9" ht="12" customHeight="1">
      <c r="A57" s="10" t="s">
        <v>20</v>
      </c>
      <c r="B57" s="16" t="s">
        <v>22</v>
      </c>
      <c r="C57" s="19">
        <v>0.82</v>
      </c>
      <c r="D57" s="23">
        <v>0.12</v>
      </c>
      <c r="E57" s="19">
        <v>1.1299999999999999</v>
      </c>
      <c r="F57" s="20">
        <f t="shared" si="0"/>
        <v>10.640833333333331</v>
      </c>
      <c r="G57" s="20">
        <f t="shared" si="1"/>
        <v>67.034999999999997</v>
      </c>
      <c r="H57" s="21" t="s">
        <v>52</v>
      </c>
      <c r="I57" s="22">
        <v>2</v>
      </c>
    </row>
    <row r="58" spans="1:9" ht="12" customHeight="1">
      <c r="A58" s="10" t="s">
        <v>20</v>
      </c>
      <c r="B58" s="16" t="s">
        <v>58</v>
      </c>
      <c r="C58" s="19">
        <v>0.38</v>
      </c>
      <c r="D58" s="23">
        <v>0.1</v>
      </c>
      <c r="E58" s="19">
        <v>1.01</v>
      </c>
      <c r="F58" s="20">
        <f t="shared" si="0"/>
        <v>10.200999999999999</v>
      </c>
      <c r="G58" s="20">
        <f t="shared" si="1"/>
        <v>37.277999999999999</v>
      </c>
      <c r="H58" s="21" t="s">
        <v>52</v>
      </c>
      <c r="I58" s="22">
        <v>2</v>
      </c>
    </row>
    <row r="59" spans="1:9" ht="12" customHeight="1">
      <c r="A59" s="10" t="s">
        <v>20</v>
      </c>
      <c r="B59" s="16" t="s">
        <v>23</v>
      </c>
      <c r="C59" s="19">
        <v>0.34</v>
      </c>
      <c r="D59" s="23">
        <v>7.0000000000000007E-2</v>
      </c>
      <c r="E59" s="19">
        <v>0.82</v>
      </c>
      <c r="F59" s="20">
        <f t="shared" si="0"/>
        <v>9.6057142857142832</v>
      </c>
      <c r="G59" s="20">
        <f t="shared" si="1"/>
        <v>47.648571428571429</v>
      </c>
      <c r="H59" s="21" t="s">
        <v>52</v>
      </c>
      <c r="I59" s="22">
        <v>2</v>
      </c>
    </row>
    <row r="60" spans="1:9" ht="12" customHeight="1">
      <c r="A60" s="10" t="s">
        <v>59</v>
      </c>
      <c r="B60" s="16" t="s">
        <v>79</v>
      </c>
      <c r="C60" s="19">
        <v>3.3000000000000003</v>
      </c>
      <c r="D60" s="23">
        <v>0.48800000000000004</v>
      </c>
      <c r="E60" s="19">
        <v>1.7</v>
      </c>
      <c r="F60" s="20">
        <f>E60*E60/D60</f>
        <v>5.9221311475409824</v>
      </c>
      <c r="G60" s="20">
        <f>9.81*C60/D60</f>
        <v>66.33811475409837</v>
      </c>
      <c r="H60" s="21" t="s">
        <v>52</v>
      </c>
      <c r="I60" s="22">
        <v>1</v>
      </c>
    </row>
    <row r="61" spans="1:9" ht="12" customHeight="1">
      <c r="A61" s="10" t="s">
        <v>59</v>
      </c>
      <c r="B61" s="16" t="s">
        <v>80</v>
      </c>
      <c r="C61" s="19">
        <v>1.5</v>
      </c>
      <c r="D61" s="23">
        <v>0.1915</v>
      </c>
      <c r="E61" s="19">
        <v>1.2</v>
      </c>
      <c r="F61" s="20">
        <f t="shared" ref="F61:F114" si="2">E61*E61/D61</f>
        <v>7.5195822454308088</v>
      </c>
      <c r="G61" s="20">
        <f t="shared" ref="G61:G106" si="3">9.81*C61/D61</f>
        <v>76.840731070496076</v>
      </c>
      <c r="H61" s="21" t="s">
        <v>52</v>
      </c>
      <c r="I61" s="22">
        <v>1</v>
      </c>
    </row>
    <row r="62" spans="1:9" ht="12" customHeight="1">
      <c r="A62" s="24" t="s">
        <v>59</v>
      </c>
      <c r="B62" s="29" t="s">
        <v>60</v>
      </c>
      <c r="C62" s="30">
        <v>1.28</v>
      </c>
      <c r="D62" s="31">
        <v>0.33129999999999998</v>
      </c>
      <c r="E62" s="26">
        <v>1.73</v>
      </c>
      <c r="F62" s="20">
        <f t="shared" si="2"/>
        <v>9.0338062179293708</v>
      </c>
      <c r="G62" s="20">
        <f t="shared" si="3"/>
        <v>37.90159975852702</v>
      </c>
      <c r="H62" s="21" t="s">
        <v>52</v>
      </c>
      <c r="I62" s="28">
        <v>3</v>
      </c>
    </row>
    <row r="63" spans="1:9" ht="12" customHeight="1">
      <c r="A63" s="10" t="s">
        <v>24</v>
      </c>
      <c r="B63" s="16" t="s">
        <v>61</v>
      </c>
      <c r="C63" s="19">
        <v>0.55500000000000005</v>
      </c>
      <c r="D63" s="23">
        <v>7.22E-2</v>
      </c>
      <c r="E63" s="19">
        <v>0.81</v>
      </c>
      <c r="F63" s="20">
        <f t="shared" si="2"/>
        <v>9.0872576177285342</v>
      </c>
      <c r="G63" s="20">
        <f t="shared" si="3"/>
        <v>75.409279778393355</v>
      </c>
      <c r="H63" s="21" t="s">
        <v>52</v>
      </c>
      <c r="I63" s="22">
        <v>1</v>
      </c>
    </row>
    <row r="64" spans="1:9" ht="12" customHeight="1">
      <c r="A64" s="10" t="s">
        <v>24</v>
      </c>
      <c r="B64" s="16" t="s">
        <v>25</v>
      </c>
      <c r="C64" s="19">
        <v>0.69500000000000006</v>
      </c>
      <c r="D64" s="23">
        <v>9.3600000000000003E-2</v>
      </c>
      <c r="E64" s="19">
        <v>0.93500000000000005</v>
      </c>
      <c r="F64" s="20">
        <f t="shared" si="2"/>
        <v>9.3400106837606849</v>
      </c>
      <c r="G64" s="20">
        <f t="shared" si="3"/>
        <v>72.84134615384616</v>
      </c>
      <c r="H64" s="21" t="s">
        <v>52</v>
      </c>
      <c r="I64" s="22">
        <v>1</v>
      </c>
    </row>
    <row r="65" spans="1:9" ht="12" customHeight="1">
      <c r="A65" s="10" t="s">
        <v>24</v>
      </c>
      <c r="B65" s="16" t="s">
        <v>81</v>
      </c>
      <c r="C65" s="19">
        <v>0.76200000000000001</v>
      </c>
      <c r="D65" s="23">
        <v>9.240000000000001E-2</v>
      </c>
      <c r="E65" s="19">
        <v>0.98</v>
      </c>
      <c r="F65" s="20">
        <f t="shared" si="2"/>
        <v>10.393939393939393</v>
      </c>
      <c r="G65" s="20">
        <f t="shared" si="3"/>
        <v>80.900649350649346</v>
      </c>
      <c r="H65" s="21" t="s">
        <v>52</v>
      </c>
      <c r="I65" s="22">
        <v>1</v>
      </c>
    </row>
    <row r="66" spans="1:9" ht="12" customHeight="1">
      <c r="A66" s="10" t="s">
        <v>24</v>
      </c>
      <c r="B66" s="16" t="s">
        <v>82</v>
      </c>
      <c r="C66" s="19">
        <v>0.35499999999999998</v>
      </c>
      <c r="D66" s="23">
        <v>0.11180000000000001</v>
      </c>
      <c r="E66" s="19">
        <v>1.08</v>
      </c>
      <c r="F66" s="20">
        <f t="shared" si="2"/>
        <v>10.432915921288014</v>
      </c>
      <c r="G66" s="20">
        <f t="shared" si="3"/>
        <v>31.14982110912343</v>
      </c>
      <c r="H66" s="21" t="s">
        <v>52</v>
      </c>
      <c r="I66" s="22">
        <v>1</v>
      </c>
    </row>
    <row r="67" spans="1:9" ht="12" customHeight="1">
      <c r="A67" s="10" t="s">
        <v>24</v>
      </c>
      <c r="B67" s="32" t="s">
        <v>26</v>
      </c>
      <c r="C67" s="30">
        <v>0.53800000000000003</v>
      </c>
      <c r="D67" s="31">
        <v>7.8084000000000001E-2</v>
      </c>
      <c r="E67" s="30">
        <v>0.94499999999999995</v>
      </c>
      <c r="F67" s="20">
        <f t="shared" si="2"/>
        <v>11.436721991701244</v>
      </c>
      <c r="G67" s="20">
        <f t="shared" si="3"/>
        <v>67.591055786076538</v>
      </c>
      <c r="H67" s="21" t="s">
        <v>52</v>
      </c>
      <c r="I67" s="22">
        <v>4</v>
      </c>
    </row>
    <row r="68" spans="1:9" ht="12" customHeight="1">
      <c r="A68" s="10" t="s">
        <v>24</v>
      </c>
      <c r="B68" s="16" t="s">
        <v>83</v>
      </c>
      <c r="C68" s="19">
        <v>0.17400000000000002</v>
      </c>
      <c r="D68" s="23">
        <v>6.6000000000000003E-2</v>
      </c>
      <c r="E68" s="19">
        <v>0.93599999999999994</v>
      </c>
      <c r="F68" s="20">
        <f t="shared" si="2"/>
        <v>13.274181818181816</v>
      </c>
      <c r="G68" s="20">
        <f t="shared" si="3"/>
        <v>25.862727272727277</v>
      </c>
      <c r="H68" s="21" t="s">
        <v>52</v>
      </c>
      <c r="I68" s="22">
        <v>1</v>
      </c>
    </row>
    <row r="69" spans="1:9" ht="12" customHeight="1">
      <c r="A69" s="10" t="s">
        <v>24</v>
      </c>
      <c r="B69" s="16" t="s">
        <v>84</v>
      </c>
      <c r="C69" s="19">
        <v>0.11600000000000001</v>
      </c>
      <c r="D69" s="23">
        <v>4.2700000000000002E-2</v>
      </c>
      <c r="E69" s="19">
        <v>0.79</v>
      </c>
      <c r="F69" s="20">
        <f t="shared" si="2"/>
        <v>14.615925058548012</v>
      </c>
      <c r="G69" s="20">
        <f t="shared" si="3"/>
        <v>26.650117096018736</v>
      </c>
      <c r="H69" s="21" t="s">
        <v>52</v>
      </c>
      <c r="I69" s="22">
        <v>1</v>
      </c>
    </row>
    <row r="70" spans="1:9" ht="12" customHeight="1">
      <c r="A70" s="10" t="s">
        <v>24</v>
      </c>
      <c r="B70" s="16" t="s">
        <v>85</v>
      </c>
      <c r="C70" s="19">
        <v>5.2999999999999999E-2</v>
      </c>
      <c r="D70" s="23">
        <v>1.8540000000000001E-2</v>
      </c>
      <c r="E70" s="19">
        <v>0.5</v>
      </c>
      <c r="F70" s="20">
        <f t="shared" si="2"/>
        <v>13.484358144552319</v>
      </c>
      <c r="G70" s="20">
        <f t="shared" si="3"/>
        <v>28.043689320388349</v>
      </c>
      <c r="H70" s="21" t="s">
        <v>52</v>
      </c>
      <c r="I70" s="22">
        <v>1</v>
      </c>
    </row>
    <row r="71" spans="1:9" ht="12" customHeight="1">
      <c r="A71" s="10" t="s">
        <v>24</v>
      </c>
      <c r="B71" s="16" t="s">
        <v>27</v>
      </c>
      <c r="C71" s="19">
        <v>0.3</v>
      </c>
      <c r="D71" s="23">
        <v>0.05</v>
      </c>
      <c r="E71" s="19">
        <v>0.63</v>
      </c>
      <c r="F71" s="20">
        <f t="shared" si="2"/>
        <v>7.9380000000000006</v>
      </c>
      <c r="G71" s="20">
        <f t="shared" si="3"/>
        <v>58.86</v>
      </c>
      <c r="H71" s="21" t="s">
        <v>52</v>
      </c>
      <c r="I71" s="22">
        <v>1</v>
      </c>
    </row>
    <row r="72" spans="1:9" ht="12" customHeight="1">
      <c r="A72" s="10" t="s">
        <v>24</v>
      </c>
      <c r="B72" s="16" t="s">
        <v>27</v>
      </c>
      <c r="C72" s="19">
        <v>0.32</v>
      </c>
      <c r="D72" s="23">
        <v>0.05</v>
      </c>
      <c r="E72" s="19">
        <v>0.64</v>
      </c>
      <c r="F72" s="20">
        <f t="shared" si="2"/>
        <v>8.1920000000000002</v>
      </c>
      <c r="G72" s="20">
        <f t="shared" si="3"/>
        <v>62.783999999999999</v>
      </c>
      <c r="H72" s="21" t="s">
        <v>52</v>
      </c>
      <c r="I72" s="22">
        <v>1</v>
      </c>
    </row>
    <row r="73" spans="1:9" ht="12" customHeight="1">
      <c r="A73" s="10" t="s">
        <v>24</v>
      </c>
      <c r="B73" s="16" t="s">
        <v>27</v>
      </c>
      <c r="C73" s="19">
        <v>0.3</v>
      </c>
      <c r="D73" s="23">
        <v>5.0500000000000003E-2</v>
      </c>
      <c r="E73" s="19">
        <v>0.63</v>
      </c>
      <c r="F73" s="20">
        <f t="shared" si="2"/>
        <v>7.8594059405940593</v>
      </c>
      <c r="G73" s="20">
        <f t="shared" si="3"/>
        <v>58.277227722772274</v>
      </c>
      <c r="H73" s="21" t="s">
        <v>52</v>
      </c>
      <c r="I73" s="22">
        <v>1</v>
      </c>
    </row>
    <row r="74" spans="1:9" ht="12" customHeight="1">
      <c r="A74" s="10" t="s">
        <v>24</v>
      </c>
      <c r="B74" s="16" t="s">
        <v>28</v>
      </c>
      <c r="C74" s="19">
        <v>0.3</v>
      </c>
      <c r="D74" s="23">
        <v>4.4000000000000004E-2</v>
      </c>
      <c r="E74" s="19">
        <v>0.59</v>
      </c>
      <c r="F74" s="20">
        <f t="shared" si="2"/>
        <v>7.9113636363636344</v>
      </c>
      <c r="G74" s="20">
        <f t="shared" si="3"/>
        <v>66.886363636363626</v>
      </c>
      <c r="H74" s="21" t="s">
        <v>52</v>
      </c>
      <c r="I74" s="22">
        <v>1</v>
      </c>
    </row>
    <row r="75" spans="1:9" ht="12" customHeight="1">
      <c r="A75" s="10" t="s">
        <v>24</v>
      </c>
      <c r="B75" s="16" t="s">
        <v>28</v>
      </c>
      <c r="C75" s="19">
        <v>0.27</v>
      </c>
      <c r="D75" s="23">
        <v>4.9000000000000002E-2</v>
      </c>
      <c r="E75" s="19">
        <v>0.62</v>
      </c>
      <c r="F75" s="20">
        <f t="shared" si="2"/>
        <v>7.8448979591836734</v>
      </c>
      <c r="G75" s="20">
        <f t="shared" si="3"/>
        <v>54.05510204081633</v>
      </c>
      <c r="H75" s="21" t="s">
        <v>52</v>
      </c>
      <c r="I75" s="22">
        <v>1</v>
      </c>
    </row>
    <row r="76" spans="1:9" ht="12" customHeight="1">
      <c r="A76" s="10" t="s">
        <v>24</v>
      </c>
      <c r="B76" s="16" t="s">
        <v>28</v>
      </c>
      <c r="C76" s="19">
        <v>0.3</v>
      </c>
      <c r="D76" s="23">
        <v>5.0500000000000003E-2</v>
      </c>
      <c r="E76" s="19">
        <v>0.6</v>
      </c>
      <c r="F76" s="20">
        <f t="shared" si="2"/>
        <v>7.1287128712871279</v>
      </c>
      <c r="G76" s="20">
        <f t="shared" si="3"/>
        <v>58.277227722772274</v>
      </c>
      <c r="H76" s="21" t="s">
        <v>52</v>
      </c>
      <c r="I76" s="22">
        <v>1</v>
      </c>
    </row>
    <row r="77" spans="1:9" ht="12" customHeight="1">
      <c r="A77" s="10" t="s">
        <v>29</v>
      </c>
      <c r="B77" s="16" t="s">
        <v>30</v>
      </c>
      <c r="C77" s="19">
        <v>5</v>
      </c>
      <c r="D77" s="23">
        <v>0.79730000000000001</v>
      </c>
      <c r="E77" s="19">
        <v>2.2600000000000002</v>
      </c>
      <c r="F77" s="20">
        <f t="shared" si="2"/>
        <v>6.4061206572181133</v>
      </c>
      <c r="G77" s="20">
        <f t="shared" si="3"/>
        <v>61.520130440235803</v>
      </c>
      <c r="H77" s="21" t="s">
        <v>31</v>
      </c>
      <c r="I77" s="22">
        <v>1</v>
      </c>
    </row>
    <row r="78" spans="1:9" ht="12" customHeight="1">
      <c r="A78" s="10" t="s">
        <v>29</v>
      </c>
      <c r="B78" s="16" t="s">
        <v>30</v>
      </c>
      <c r="C78" s="19">
        <v>4.5</v>
      </c>
      <c r="D78" s="23">
        <v>0.70000000000000007</v>
      </c>
      <c r="E78" s="19">
        <v>2.17</v>
      </c>
      <c r="F78" s="20">
        <f t="shared" si="2"/>
        <v>6.7269999999999994</v>
      </c>
      <c r="G78" s="20">
        <f t="shared" si="3"/>
        <v>63.06428571428571</v>
      </c>
      <c r="H78" s="21" t="s">
        <v>31</v>
      </c>
      <c r="I78" s="22">
        <v>1</v>
      </c>
    </row>
    <row r="79" spans="1:9" ht="12" customHeight="1">
      <c r="A79" s="10" t="s">
        <v>29</v>
      </c>
      <c r="B79" s="16" t="s">
        <v>30</v>
      </c>
      <c r="C79" s="19">
        <v>4.7</v>
      </c>
      <c r="D79" s="23">
        <v>0.62</v>
      </c>
      <c r="E79" s="19">
        <v>2.09</v>
      </c>
      <c r="F79" s="20">
        <f t="shared" si="2"/>
        <v>7.04532258064516</v>
      </c>
      <c r="G79" s="20">
        <f t="shared" si="3"/>
        <v>74.366129032258073</v>
      </c>
      <c r="H79" s="21" t="s">
        <v>31</v>
      </c>
      <c r="I79" s="22">
        <v>1</v>
      </c>
    </row>
    <row r="80" spans="1:9" ht="12" customHeight="1">
      <c r="A80" s="10" t="s">
        <v>29</v>
      </c>
      <c r="B80" s="16" t="s">
        <v>86</v>
      </c>
      <c r="C80" s="19">
        <v>0.8</v>
      </c>
      <c r="D80" s="23">
        <v>0.152</v>
      </c>
      <c r="E80" s="19">
        <v>1.03</v>
      </c>
      <c r="F80" s="20">
        <f t="shared" si="2"/>
        <v>6.9796052631578949</v>
      </c>
      <c r="G80" s="20">
        <f t="shared" si="3"/>
        <v>51.631578947368425</v>
      </c>
      <c r="H80" s="21" t="s">
        <v>31</v>
      </c>
      <c r="I80" s="22">
        <v>1</v>
      </c>
    </row>
    <row r="81" spans="1:9" ht="12" customHeight="1">
      <c r="A81" s="10" t="s">
        <v>29</v>
      </c>
      <c r="B81" s="16" t="s">
        <v>87</v>
      </c>
      <c r="C81" s="19">
        <v>0.26</v>
      </c>
      <c r="D81" s="23">
        <v>0.08</v>
      </c>
      <c r="E81" s="19">
        <v>0.75</v>
      </c>
      <c r="F81" s="20">
        <f t="shared" si="2"/>
        <v>7.03125</v>
      </c>
      <c r="G81" s="20">
        <f t="shared" si="3"/>
        <v>31.8825</v>
      </c>
      <c r="H81" s="21" t="s">
        <v>31</v>
      </c>
      <c r="I81" s="22">
        <v>1</v>
      </c>
    </row>
    <row r="82" spans="1:9" ht="12" customHeight="1">
      <c r="A82" s="10" t="s">
        <v>29</v>
      </c>
      <c r="B82" s="16" t="s">
        <v>87</v>
      </c>
      <c r="C82" s="19">
        <v>0.27500000000000002</v>
      </c>
      <c r="D82" s="23">
        <v>6.9000000000000006E-2</v>
      </c>
      <c r="E82" s="19">
        <v>0.68</v>
      </c>
      <c r="F82" s="20">
        <f t="shared" si="2"/>
        <v>6.7014492753623198</v>
      </c>
      <c r="G82" s="20">
        <f t="shared" si="3"/>
        <v>39.097826086956523</v>
      </c>
      <c r="H82" s="21" t="s">
        <v>31</v>
      </c>
      <c r="I82" s="22">
        <v>1</v>
      </c>
    </row>
    <row r="83" spans="1:9" ht="12" customHeight="1">
      <c r="A83" s="10" t="s">
        <v>29</v>
      </c>
      <c r="B83" s="16" t="s">
        <v>87</v>
      </c>
      <c r="C83" s="19">
        <v>0.15</v>
      </c>
      <c r="D83" s="23">
        <v>4.9600000000000005E-2</v>
      </c>
      <c r="E83" s="19">
        <v>0.55500000000000005</v>
      </c>
      <c r="F83" s="20">
        <f t="shared" si="2"/>
        <v>6.2101814516129039</v>
      </c>
      <c r="G83" s="20">
        <f t="shared" si="3"/>
        <v>29.667338709677416</v>
      </c>
      <c r="H83" s="21" t="s">
        <v>31</v>
      </c>
      <c r="I83" s="22">
        <v>1</v>
      </c>
    </row>
    <row r="84" spans="1:9" ht="12" customHeight="1">
      <c r="A84" s="10" t="s">
        <v>29</v>
      </c>
      <c r="B84" s="16" t="s">
        <v>87</v>
      </c>
      <c r="C84" s="19">
        <v>0.25</v>
      </c>
      <c r="D84" s="23">
        <v>7.1000000000000008E-2</v>
      </c>
      <c r="E84" s="19">
        <v>0.69000000000000006</v>
      </c>
      <c r="F84" s="20">
        <f t="shared" si="2"/>
        <v>6.7056338028169016</v>
      </c>
      <c r="G84" s="20">
        <f t="shared" si="3"/>
        <v>34.54225352112676</v>
      </c>
      <c r="H84" s="21" t="s">
        <v>31</v>
      </c>
      <c r="I84" s="22">
        <v>1</v>
      </c>
    </row>
    <row r="85" spans="1:9" ht="12" customHeight="1">
      <c r="A85" s="10" t="s">
        <v>29</v>
      </c>
      <c r="B85" s="16" t="s">
        <v>88</v>
      </c>
      <c r="C85" s="19">
        <v>0.9</v>
      </c>
      <c r="D85" s="23">
        <v>0.26100000000000001</v>
      </c>
      <c r="E85" s="19">
        <v>1.3</v>
      </c>
      <c r="F85" s="20">
        <f t="shared" si="2"/>
        <v>6.4750957854406135</v>
      </c>
      <c r="G85" s="20">
        <f t="shared" si="3"/>
        <v>33.827586206896555</v>
      </c>
      <c r="H85" s="21" t="s">
        <v>31</v>
      </c>
      <c r="I85" s="22">
        <v>1</v>
      </c>
    </row>
    <row r="86" spans="1:9" ht="12" customHeight="1">
      <c r="A86" s="10" t="s">
        <v>29</v>
      </c>
      <c r="B86" s="16" t="s">
        <v>88</v>
      </c>
      <c r="C86" s="19">
        <v>0.9</v>
      </c>
      <c r="D86" s="23">
        <v>0.25900000000000001</v>
      </c>
      <c r="E86" s="19">
        <v>1.26</v>
      </c>
      <c r="F86" s="20">
        <f t="shared" si="2"/>
        <v>6.1297297297297302</v>
      </c>
      <c r="G86" s="20">
        <f t="shared" si="3"/>
        <v>34.08880308880309</v>
      </c>
      <c r="H86" s="21" t="s">
        <v>31</v>
      </c>
      <c r="I86" s="22">
        <v>1</v>
      </c>
    </row>
    <row r="87" spans="1:9" ht="12" customHeight="1">
      <c r="A87" s="10" t="s">
        <v>29</v>
      </c>
      <c r="B87" s="16" t="s">
        <v>88</v>
      </c>
      <c r="C87" s="19">
        <v>0.8</v>
      </c>
      <c r="D87" s="23">
        <v>0.221</v>
      </c>
      <c r="E87" s="19">
        <v>1.25</v>
      </c>
      <c r="F87" s="20">
        <f t="shared" si="2"/>
        <v>7.0701357466063346</v>
      </c>
      <c r="G87" s="20">
        <f t="shared" si="3"/>
        <v>35.511312217194572</v>
      </c>
      <c r="H87" s="21" t="s">
        <v>31</v>
      </c>
      <c r="I87" s="22">
        <v>1</v>
      </c>
    </row>
    <row r="88" spans="1:9" ht="12" customHeight="1">
      <c r="A88" s="10" t="s">
        <v>29</v>
      </c>
      <c r="B88" s="16" t="s">
        <v>88</v>
      </c>
      <c r="C88" s="19">
        <v>0.6</v>
      </c>
      <c r="D88" s="23">
        <v>0.217</v>
      </c>
      <c r="E88" s="19">
        <v>1.17</v>
      </c>
      <c r="F88" s="20">
        <f t="shared" si="2"/>
        <v>6.3082949308755749</v>
      </c>
      <c r="G88" s="20">
        <f t="shared" si="3"/>
        <v>27.124423963133641</v>
      </c>
      <c r="H88" s="21" t="s">
        <v>31</v>
      </c>
      <c r="I88" s="22">
        <v>1</v>
      </c>
    </row>
    <row r="89" spans="1:9" ht="12" customHeight="1">
      <c r="A89" s="10" t="s">
        <v>29</v>
      </c>
      <c r="B89" s="16" t="s">
        <v>88</v>
      </c>
      <c r="C89" s="19">
        <v>1.2170000000000001</v>
      </c>
      <c r="D89" s="23">
        <v>0.23500000000000001</v>
      </c>
      <c r="E89" s="19">
        <v>1.23</v>
      </c>
      <c r="F89" s="20">
        <f t="shared" si="2"/>
        <v>6.4378723404255309</v>
      </c>
      <c r="G89" s="20">
        <f t="shared" si="3"/>
        <v>50.803276595744684</v>
      </c>
      <c r="H89" s="21" t="s">
        <v>31</v>
      </c>
      <c r="I89" s="22">
        <v>1</v>
      </c>
    </row>
    <row r="90" spans="1:9" ht="12" customHeight="1">
      <c r="A90" s="10" t="s">
        <v>29</v>
      </c>
      <c r="B90" s="16" t="s">
        <v>62</v>
      </c>
      <c r="C90" s="19">
        <v>0.86199999999999999</v>
      </c>
      <c r="D90" s="23">
        <v>0.22800000000000001</v>
      </c>
      <c r="E90" s="19">
        <v>1.2</v>
      </c>
      <c r="F90" s="20">
        <f t="shared" si="2"/>
        <v>6.3157894736842097</v>
      </c>
      <c r="G90" s="20">
        <f t="shared" si="3"/>
        <v>37.088684210526317</v>
      </c>
      <c r="H90" s="21" t="s">
        <v>31</v>
      </c>
      <c r="I90" s="22">
        <v>1</v>
      </c>
    </row>
    <row r="91" spans="1:9" ht="12" customHeight="1">
      <c r="A91" s="10" t="s">
        <v>29</v>
      </c>
      <c r="B91" s="16" t="s">
        <v>62</v>
      </c>
      <c r="C91" s="19">
        <v>1</v>
      </c>
      <c r="D91" s="23">
        <v>0.2359</v>
      </c>
      <c r="E91" s="19">
        <v>1.4000000000000001</v>
      </c>
      <c r="F91" s="20">
        <f t="shared" si="2"/>
        <v>8.3086053412462935</v>
      </c>
      <c r="G91" s="20">
        <f t="shared" si="3"/>
        <v>41.585417549809243</v>
      </c>
      <c r="H91" s="21" t="s">
        <v>31</v>
      </c>
      <c r="I91" s="22">
        <v>1</v>
      </c>
    </row>
    <row r="92" spans="1:9" ht="12" customHeight="1">
      <c r="A92" s="10" t="s">
        <v>29</v>
      </c>
      <c r="B92" s="16" t="s">
        <v>62</v>
      </c>
      <c r="C92" s="19">
        <v>0.89</v>
      </c>
      <c r="D92" s="23">
        <v>0.20200000000000001</v>
      </c>
      <c r="E92" s="19">
        <v>1.29</v>
      </c>
      <c r="F92" s="20">
        <f t="shared" si="2"/>
        <v>8.2381188118811881</v>
      </c>
      <c r="G92" s="20">
        <f t="shared" si="3"/>
        <v>43.22227722772277</v>
      </c>
      <c r="H92" s="21" t="s">
        <v>31</v>
      </c>
      <c r="I92" s="22">
        <v>1</v>
      </c>
    </row>
    <row r="93" spans="1:9" ht="12" customHeight="1">
      <c r="A93" s="10" t="s">
        <v>29</v>
      </c>
      <c r="B93" s="16" t="s">
        <v>62</v>
      </c>
      <c r="C93" s="19">
        <v>1</v>
      </c>
      <c r="D93" s="23">
        <v>0.24450000000000002</v>
      </c>
      <c r="E93" s="19">
        <v>1.35</v>
      </c>
      <c r="F93" s="20">
        <f t="shared" si="2"/>
        <v>7.4539877300613497</v>
      </c>
      <c r="G93" s="20">
        <f t="shared" si="3"/>
        <v>40.122699386503065</v>
      </c>
      <c r="H93" s="21" t="s">
        <v>31</v>
      </c>
      <c r="I93" s="22">
        <v>1</v>
      </c>
    </row>
    <row r="94" spans="1:9" ht="12" customHeight="1">
      <c r="A94" s="10" t="s">
        <v>29</v>
      </c>
      <c r="B94" s="16" t="s">
        <v>62</v>
      </c>
      <c r="C94" s="19">
        <v>1</v>
      </c>
      <c r="D94" s="23">
        <v>0.251</v>
      </c>
      <c r="E94" s="19">
        <v>1.44</v>
      </c>
      <c r="F94" s="20">
        <f t="shared" si="2"/>
        <v>8.2613545816733058</v>
      </c>
      <c r="G94" s="20">
        <f t="shared" si="3"/>
        <v>39.083665338645417</v>
      </c>
      <c r="H94" s="21" t="s">
        <v>31</v>
      </c>
      <c r="I94" s="22">
        <v>1</v>
      </c>
    </row>
    <row r="95" spans="1:9" ht="12" customHeight="1">
      <c r="A95" s="10" t="s">
        <v>29</v>
      </c>
      <c r="B95" s="16" t="s">
        <v>62</v>
      </c>
      <c r="C95" s="19">
        <v>0.9</v>
      </c>
      <c r="D95" s="23">
        <v>0.222</v>
      </c>
      <c r="E95" s="19">
        <v>1.32</v>
      </c>
      <c r="F95" s="20">
        <f t="shared" si="2"/>
        <v>7.8486486486486493</v>
      </c>
      <c r="G95" s="20">
        <f t="shared" si="3"/>
        <v>39.770270270270274</v>
      </c>
      <c r="H95" s="21" t="s">
        <v>31</v>
      </c>
      <c r="I95" s="22">
        <v>1</v>
      </c>
    </row>
    <row r="96" spans="1:9" ht="12" customHeight="1">
      <c r="A96" s="10" t="s">
        <v>29</v>
      </c>
      <c r="B96" s="16" t="s">
        <v>62</v>
      </c>
      <c r="C96" s="19">
        <v>1.125</v>
      </c>
      <c r="D96" s="23">
        <v>0.28800000000000003</v>
      </c>
      <c r="E96" s="19">
        <v>1.43</v>
      </c>
      <c r="F96" s="20">
        <f t="shared" si="2"/>
        <v>7.1003472222222204</v>
      </c>
      <c r="G96" s="20">
        <f t="shared" si="3"/>
        <v>38.3203125</v>
      </c>
      <c r="H96" s="21" t="s">
        <v>31</v>
      </c>
      <c r="I96" s="22">
        <v>1</v>
      </c>
    </row>
    <row r="97" spans="1:9" ht="12" customHeight="1">
      <c r="A97" s="10" t="s">
        <v>29</v>
      </c>
      <c r="B97" s="16" t="s">
        <v>62</v>
      </c>
      <c r="C97" s="19">
        <v>0.75</v>
      </c>
      <c r="D97" s="23">
        <v>0.24200000000000002</v>
      </c>
      <c r="E97" s="19">
        <v>1.37</v>
      </c>
      <c r="F97" s="20">
        <f t="shared" si="2"/>
        <v>7.7557851239669429</v>
      </c>
      <c r="G97" s="20">
        <f t="shared" si="3"/>
        <v>30.402892561983467</v>
      </c>
      <c r="H97" s="21" t="s">
        <v>31</v>
      </c>
      <c r="I97" s="22">
        <v>1</v>
      </c>
    </row>
    <row r="98" spans="1:9" ht="12" customHeight="1">
      <c r="A98" s="24" t="s">
        <v>29</v>
      </c>
      <c r="B98" s="25" t="s">
        <v>5</v>
      </c>
      <c r="C98" s="26">
        <v>0.41</v>
      </c>
      <c r="D98" s="27">
        <v>9.0700000000000003E-2</v>
      </c>
      <c r="E98" s="26">
        <v>0.8</v>
      </c>
      <c r="F98" s="20">
        <f t="shared" si="2"/>
        <v>7.0562293274531438</v>
      </c>
      <c r="G98" s="20">
        <f t="shared" si="3"/>
        <v>44.345093715545751</v>
      </c>
      <c r="H98" s="21" t="s">
        <v>31</v>
      </c>
      <c r="I98" s="28">
        <v>3</v>
      </c>
    </row>
    <row r="99" spans="1:9" ht="12" customHeight="1">
      <c r="A99" s="10" t="s">
        <v>63</v>
      </c>
      <c r="B99" s="16" t="s">
        <v>89</v>
      </c>
      <c r="C99" s="19">
        <v>0.4</v>
      </c>
      <c r="D99" s="23">
        <v>0.11900000000000001</v>
      </c>
      <c r="E99" s="19">
        <v>0.97</v>
      </c>
      <c r="F99" s="20">
        <f t="shared" si="2"/>
        <v>7.9067226890756297</v>
      </c>
      <c r="G99" s="20">
        <f t="shared" si="3"/>
        <v>32.97478991596639</v>
      </c>
      <c r="H99" s="21" t="s">
        <v>31</v>
      </c>
      <c r="I99" s="22">
        <v>1</v>
      </c>
    </row>
    <row r="100" spans="1:9" ht="12" customHeight="1">
      <c r="A100" s="10" t="s">
        <v>63</v>
      </c>
      <c r="B100" s="16" t="s">
        <v>89</v>
      </c>
      <c r="C100" s="17">
        <v>0.25</v>
      </c>
      <c r="D100" s="18">
        <v>0.14400000000000002</v>
      </c>
      <c r="E100" s="19">
        <v>0.97</v>
      </c>
      <c r="F100" s="20">
        <f t="shared" si="2"/>
        <v>6.5340277777777764</v>
      </c>
      <c r="G100" s="20">
        <f t="shared" si="3"/>
        <v>17.03125</v>
      </c>
      <c r="H100" s="21" t="s">
        <v>31</v>
      </c>
      <c r="I100" s="22">
        <v>1</v>
      </c>
    </row>
    <row r="101" spans="1:9" ht="12" customHeight="1">
      <c r="A101" s="24" t="s">
        <v>63</v>
      </c>
      <c r="B101" s="25" t="s">
        <v>64</v>
      </c>
      <c r="C101" s="26">
        <v>0.68</v>
      </c>
      <c r="D101" s="27">
        <v>0.22070000000000001</v>
      </c>
      <c r="E101" s="26">
        <v>0.87</v>
      </c>
      <c r="F101" s="20">
        <f t="shared" si="2"/>
        <v>3.4295423652016312</v>
      </c>
      <c r="G101" s="20">
        <f t="shared" si="3"/>
        <v>30.225645672859088</v>
      </c>
      <c r="H101" s="21" t="s">
        <v>31</v>
      </c>
      <c r="I101" s="28">
        <v>3</v>
      </c>
    </row>
    <row r="102" spans="1:9" ht="12" customHeight="1">
      <c r="A102" s="10" t="s">
        <v>63</v>
      </c>
      <c r="B102" s="16" t="s">
        <v>6</v>
      </c>
      <c r="C102" s="19">
        <v>0.27500000000000002</v>
      </c>
      <c r="D102" s="23">
        <v>0.10100000000000001</v>
      </c>
      <c r="E102" s="19">
        <v>0.92</v>
      </c>
      <c r="F102" s="20">
        <f t="shared" si="2"/>
        <v>8.3801980198019805</v>
      </c>
      <c r="G102" s="20">
        <f t="shared" si="3"/>
        <v>26.710396039603964</v>
      </c>
      <c r="H102" s="21" t="s">
        <v>31</v>
      </c>
      <c r="I102" s="22">
        <v>1</v>
      </c>
    </row>
    <row r="103" spans="1:9" ht="12" customHeight="1">
      <c r="A103" s="10" t="s">
        <v>63</v>
      </c>
      <c r="B103" s="16" t="s">
        <v>6</v>
      </c>
      <c r="C103" s="19">
        <v>0.23200000000000001</v>
      </c>
      <c r="D103" s="23">
        <v>0.11020000000000001</v>
      </c>
      <c r="E103" s="19">
        <v>0.92</v>
      </c>
      <c r="F103" s="20">
        <f t="shared" si="2"/>
        <v>7.6805807622504538</v>
      </c>
      <c r="G103" s="20">
        <f t="shared" si="3"/>
        <v>20.652631578947368</v>
      </c>
      <c r="H103" s="21" t="s">
        <v>31</v>
      </c>
      <c r="I103" s="22">
        <v>1</v>
      </c>
    </row>
    <row r="104" spans="1:9" ht="12" customHeight="1">
      <c r="A104" s="10" t="s">
        <v>63</v>
      </c>
      <c r="B104" s="16" t="s">
        <v>65</v>
      </c>
      <c r="C104" s="19">
        <v>0.37</v>
      </c>
      <c r="D104" s="23">
        <v>0.12300000000000001</v>
      </c>
      <c r="E104" s="19">
        <v>1.03</v>
      </c>
      <c r="F104" s="20">
        <f t="shared" si="2"/>
        <v>8.6252032520325184</v>
      </c>
      <c r="G104" s="20">
        <f t="shared" si="3"/>
        <v>29.509756097560974</v>
      </c>
      <c r="H104" s="21" t="s">
        <v>31</v>
      </c>
      <c r="I104" s="22">
        <v>1</v>
      </c>
    </row>
    <row r="105" spans="1:9" ht="12" customHeight="1">
      <c r="A105" s="10" t="s">
        <v>63</v>
      </c>
      <c r="B105" s="16" t="s">
        <v>7</v>
      </c>
      <c r="C105" s="19">
        <v>1.7770000000000001</v>
      </c>
      <c r="D105" s="23">
        <v>0.30199999999999999</v>
      </c>
      <c r="E105" s="19">
        <v>0.94500000000000006</v>
      </c>
      <c r="F105" s="20">
        <f t="shared" si="2"/>
        <v>2.95703642384106</v>
      </c>
      <c r="G105" s="20">
        <f t="shared" si="3"/>
        <v>57.723079470198684</v>
      </c>
      <c r="H105" s="21" t="s">
        <v>31</v>
      </c>
      <c r="I105" s="22">
        <v>1</v>
      </c>
    </row>
    <row r="106" spans="1:9" ht="12" customHeight="1">
      <c r="A106" s="10" t="s">
        <v>66</v>
      </c>
      <c r="B106" s="16" t="s">
        <v>8</v>
      </c>
      <c r="C106" s="19">
        <v>0.26</v>
      </c>
      <c r="D106" s="23">
        <v>6.8000000000000005E-2</v>
      </c>
      <c r="E106" s="19">
        <v>0.65</v>
      </c>
      <c r="F106" s="20">
        <f t="shared" si="2"/>
        <v>6.2132352941176476</v>
      </c>
      <c r="G106" s="20">
        <f t="shared" si="3"/>
        <v>37.508823529411764</v>
      </c>
      <c r="H106" s="21" t="s">
        <v>31</v>
      </c>
      <c r="I106" s="22">
        <v>1</v>
      </c>
    </row>
    <row r="107" spans="1:9" ht="12" customHeight="1">
      <c r="A107" s="10" t="s">
        <v>40</v>
      </c>
      <c r="B107" s="16" t="s">
        <v>41</v>
      </c>
      <c r="C107" s="19">
        <v>0.2</v>
      </c>
      <c r="D107" s="23">
        <v>7.1000000000000008E-2</v>
      </c>
      <c r="E107" s="19">
        <v>0.71</v>
      </c>
      <c r="F107" s="20">
        <f t="shared" si="2"/>
        <v>7.0999999999999988</v>
      </c>
      <c r="G107" s="20">
        <f>9.81*C107/D107</f>
        <v>27.633802816901408</v>
      </c>
      <c r="H107" s="21" t="s">
        <v>31</v>
      </c>
      <c r="I107" s="22">
        <v>1</v>
      </c>
    </row>
    <row r="108" spans="1:9" ht="12" customHeight="1">
      <c r="A108" s="10" t="s">
        <v>40</v>
      </c>
      <c r="B108" s="16" t="s">
        <v>67</v>
      </c>
      <c r="C108" s="19">
        <v>0.1</v>
      </c>
      <c r="D108" s="23">
        <v>1.8600000000000002E-2</v>
      </c>
      <c r="E108" s="19">
        <v>0.39</v>
      </c>
      <c r="F108" s="20">
        <f t="shared" si="2"/>
        <v>8.17741935483871</v>
      </c>
      <c r="G108" s="20">
        <f t="shared" ref="G108:G116" si="4">9.81*C108/D108</f>
        <v>52.741935483870968</v>
      </c>
      <c r="H108" s="21" t="s">
        <v>31</v>
      </c>
      <c r="I108" s="22">
        <v>1</v>
      </c>
    </row>
    <row r="109" spans="1:9" ht="12" customHeight="1">
      <c r="A109" s="10" t="s">
        <v>40</v>
      </c>
      <c r="B109" s="16" t="s">
        <v>68</v>
      </c>
      <c r="C109" s="19">
        <v>0.55700000000000005</v>
      </c>
      <c r="D109" s="23">
        <v>0.126</v>
      </c>
      <c r="E109" s="19">
        <v>0.78</v>
      </c>
      <c r="F109" s="20">
        <f t="shared" si="2"/>
        <v>4.8285714285714292</v>
      </c>
      <c r="G109" s="20">
        <f t="shared" si="4"/>
        <v>43.366428571428578</v>
      </c>
      <c r="H109" s="21" t="s">
        <v>31</v>
      </c>
      <c r="I109" s="22">
        <v>1</v>
      </c>
    </row>
    <row r="110" spans="1:9" ht="12" customHeight="1">
      <c r="A110" s="10" t="s">
        <v>40</v>
      </c>
      <c r="B110" s="16" t="s">
        <v>69</v>
      </c>
      <c r="C110" s="19">
        <v>0.57500000000000007</v>
      </c>
      <c r="D110" s="23">
        <v>0.1285</v>
      </c>
      <c r="E110" s="19">
        <v>0.92</v>
      </c>
      <c r="F110" s="20">
        <f t="shared" si="2"/>
        <v>6.5867704280155648</v>
      </c>
      <c r="G110" s="20">
        <f t="shared" si="4"/>
        <v>43.89688715953308</v>
      </c>
      <c r="H110" s="21" t="s">
        <v>31</v>
      </c>
      <c r="I110" s="22">
        <v>1</v>
      </c>
    </row>
    <row r="111" spans="1:9" ht="12" customHeight="1">
      <c r="A111" s="10" t="s">
        <v>40</v>
      </c>
      <c r="B111" s="16" t="s">
        <v>70</v>
      </c>
      <c r="C111" s="19">
        <v>0.22500000000000001</v>
      </c>
      <c r="D111" s="23">
        <v>6.0139999999999999E-2</v>
      </c>
      <c r="E111" s="19">
        <v>0.6</v>
      </c>
      <c r="F111" s="20">
        <f t="shared" si="2"/>
        <v>5.9860325906218819</v>
      </c>
      <c r="G111" s="20">
        <f t="shared" si="4"/>
        <v>36.701862321250417</v>
      </c>
      <c r="H111" s="21" t="s">
        <v>31</v>
      </c>
      <c r="I111" s="22">
        <v>1</v>
      </c>
    </row>
    <row r="112" spans="1:9" ht="12" customHeight="1">
      <c r="A112" s="10" t="s">
        <v>40</v>
      </c>
      <c r="B112" s="16" t="s">
        <v>70</v>
      </c>
      <c r="C112" s="19">
        <v>0.20400000000000001</v>
      </c>
      <c r="D112" s="23">
        <v>6.1000000000000006E-2</v>
      </c>
      <c r="E112" s="19">
        <v>0.64</v>
      </c>
      <c r="F112" s="20">
        <f t="shared" si="2"/>
        <v>6.7147540983606557</v>
      </c>
      <c r="G112" s="20">
        <f t="shared" si="4"/>
        <v>32.807213114754099</v>
      </c>
      <c r="H112" s="21" t="s">
        <v>31</v>
      </c>
      <c r="I112" s="22">
        <v>1</v>
      </c>
    </row>
    <row r="113" spans="1:9" ht="12" customHeight="1">
      <c r="A113" s="10" t="s">
        <v>40</v>
      </c>
      <c r="B113" s="16" t="s">
        <v>71</v>
      </c>
      <c r="C113" s="19">
        <v>0.20200000000000001</v>
      </c>
      <c r="D113" s="23">
        <v>5.6000000000000001E-2</v>
      </c>
      <c r="E113" s="19">
        <v>0.55500000000000005</v>
      </c>
      <c r="F113" s="20">
        <f t="shared" si="2"/>
        <v>5.5004464285714292</v>
      </c>
      <c r="G113" s="20">
        <f t="shared" si="4"/>
        <v>35.386071428571434</v>
      </c>
      <c r="H113" s="21" t="s">
        <v>31</v>
      </c>
      <c r="I113" s="22">
        <v>1</v>
      </c>
    </row>
    <row r="114" spans="1:9" ht="12" customHeight="1">
      <c r="A114" s="24" t="s">
        <v>40</v>
      </c>
      <c r="B114" s="25" t="s">
        <v>71</v>
      </c>
      <c r="C114" s="26">
        <v>0.17899999999999999</v>
      </c>
      <c r="D114" s="27">
        <v>4.82E-2</v>
      </c>
      <c r="E114" s="26">
        <v>0.51</v>
      </c>
      <c r="F114" s="20">
        <f t="shared" si="2"/>
        <v>5.3962655601659755</v>
      </c>
      <c r="G114" s="20">
        <f t="shared" si="4"/>
        <v>36.431327800829877</v>
      </c>
      <c r="H114" s="21" t="s">
        <v>31</v>
      </c>
      <c r="I114" s="22">
        <v>1</v>
      </c>
    </row>
    <row r="115" spans="1:9" ht="12" customHeight="1">
      <c r="A115" s="24" t="s">
        <v>40</v>
      </c>
      <c r="B115" s="25" t="s">
        <v>42</v>
      </c>
      <c r="C115" s="26">
        <v>0.18</v>
      </c>
      <c r="D115" s="27">
        <v>5.6500000000000002E-2</v>
      </c>
      <c r="E115" s="26">
        <v>0.56000000000000005</v>
      </c>
      <c r="F115" s="20">
        <f t="shared" ref="F115:F116" si="5">E115*E115/D115</f>
        <v>5.550442477876107</v>
      </c>
      <c r="G115" s="20">
        <f t="shared" si="4"/>
        <v>31.253097345132744</v>
      </c>
      <c r="H115" s="21" t="s">
        <v>31</v>
      </c>
      <c r="I115" s="22">
        <v>1</v>
      </c>
    </row>
    <row r="116" spans="1:9" ht="12" customHeight="1">
      <c r="A116" s="24" t="s">
        <v>40</v>
      </c>
      <c r="B116" s="25" t="s">
        <v>72</v>
      </c>
      <c r="C116" s="26">
        <v>0.3</v>
      </c>
      <c r="D116" s="27">
        <v>8.950000000000001E-2</v>
      </c>
      <c r="E116" s="26">
        <v>0.73</v>
      </c>
      <c r="F116" s="20">
        <f t="shared" si="5"/>
        <v>5.9541899441340771</v>
      </c>
      <c r="G116" s="20">
        <f t="shared" si="4"/>
        <v>32.882681564245807</v>
      </c>
      <c r="H116" s="21" t="s">
        <v>31</v>
      </c>
      <c r="I116" s="22">
        <v>1</v>
      </c>
    </row>
    <row r="117" spans="1:9" ht="3.75" customHeight="1">
      <c r="A117" s="33"/>
      <c r="B117" s="33"/>
      <c r="C117" s="34"/>
      <c r="D117" s="34"/>
      <c r="E117" s="34"/>
      <c r="F117" s="34"/>
      <c r="G117" s="34"/>
      <c r="H117" s="33"/>
      <c r="I117" s="14"/>
    </row>
    <row r="118" spans="1:9" ht="12.75" customHeight="1">
      <c r="A118" s="11"/>
      <c r="B118" s="11"/>
      <c r="C118" s="11"/>
      <c r="D118" s="11"/>
      <c r="E118" s="11"/>
      <c r="F118" s="11"/>
      <c r="G118" s="11"/>
      <c r="H118" s="11"/>
      <c r="I118" s="35"/>
    </row>
    <row r="119" spans="1:9" ht="12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2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2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2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2" customHeight="1">
      <c r="A123" s="37"/>
      <c r="B123" s="37"/>
      <c r="C123" s="37"/>
      <c r="D123" s="37"/>
      <c r="E123" s="37"/>
      <c r="F123" s="37"/>
      <c r="G123" s="37"/>
      <c r="H123" s="37"/>
      <c r="I123" s="37"/>
    </row>
    <row r="124" spans="1:9" ht="11.1" customHeight="1"/>
  </sheetData>
  <mergeCells count="2">
    <mergeCell ref="A1:I1"/>
    <mergeCell ref="A123:I123"/>
  </mergeCells>
  <phoneticPr fontId="1"/>
  <hyperlinks>
    <hyperlink ref="B62" r:id="rId1" tooltip="w:Ardea alba" display="http://en.wikipedia.org/wiki/Ardea_alba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Ikuko1951220</dc:creator>
  <cp:lastModifiedBy>IkukoTanaka</cp:lastModifiedBy>
  <cp:lastPrinted>2016-11-23T18:46:20Z</cp:lastPrinted>
  <dcterms:created xsi:type="dcterms:W3CDTF">2014-12-27T07:06:38Z</dcterms:created>
  <dcterms:modified xsi:type="dcterms:W3CDTF">2016-11-23T18:47:04Z</dcterms:modified>
</cp:coreProperties>
</file>